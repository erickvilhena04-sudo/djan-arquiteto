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IA-ME" sheetId="1" state="visible" r:id="rId1"/>
    <sheet xmlns:r="http://schemas.openxmlformats.org/officeDocument/2006/relationships" name="Resumo" sheetId="2" state="visible" r:id="rId2"/>
    <sheet xmlns:r="http://schemas.openxmlformats.org/officeDocument/2006/relationships" name="Premissas" sheetId="3" state="visible" r:id="rId3"/>
    <sheet xmlns:r="http://schemas.openxmlformats.org/officeDocument/2006/relationships" name="Conservador" sheetId="4" state="visible" r:id="rId4"/>
    <sheet xmlns:r="http://schemas.openxmlformats.org/officeDocument/2006/relationships" name="Realista" sheetId="5" state="visible" r:id="rId5"/>
    <sheet xmlns:r="http://schemas.openxmlformats.org/officeDocument/2006/relationships" name="Otimista" sheetId="6" state="visible" r:id="rId6"/>
    <sheet xmlns:r="http://schemas.openxmlformats.org/officeDocument/2006/relationships" name="Monte Carlo" sheetId="7" state="visible" r:id="rId7"/>
    <sheet xmlns:r="http://schemas.openxmlformats.org/officeDocument/2006/relationships" name="Marco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&quot;R$&quot; #,##0;[Red]-&quot;R$&quot; #,##0"/>
    <numFmt numFmtId="166" formatCode="&quot;€&quot; #,##0"/>
  </numFmts>
  <fonts count="6">
    <font>
      <name val="Calibri"/>
      <family val="2"/>
      <color theme="1"/>
      <sz val="11"/>
      <scheme val="minor"/>
    </font>
    <font>
      <b val="1"/>
      <sz val="13"/>
    </font>
    <font>
      <sz val="11"/>
    </font>
    <font>
      <b val="1"/>
      <sz val="11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3A4D"/>
      </patternFill>
    </fill>
    <fill>
      <patternFill patternType="solid">
        <fgColor rgb="00FFF2CC"/>
      </patternFill>
    </fill>
    <fill>
      <patternFill patternType="solid">
        <fgColor rgb="00DCE6EC"/>
      </patternFill>
    </fill>
    <fill>
      <patternFill patternType="solid">
        <fgColor rgb="00E8F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1" fillId="0" borderId="0" pivotButton="0" quotePrefix="0" xfId="0"/>
    <xf numFmtId="0" fontId="4" fillId="2" borderId="0" pivotButton="0" quotePrefix="0" xfId="0"/>
    <xf numFmtId="1" fontId="0" fillId="0" borderId="0" pivotButton="0" quotePrefix="0" xfId="0"/>
    <xf numFmtId="3" fontId="0" fillId="0" borderId="0" pivotButton="0" quotePrefix="0" xfId="0"/>
    <xf numFmtId="165" fontId="0" fillId="0" borderId="0" pivotButton="0" quotePrefix="0" xfId="0"/>
    <xf numFmtId="2" fontId="0" fillId="0" borderId="0" pivotButton="0" quotePrefix="0" xfId="0"/>
    <xf numFmtId="0" fontId="5" fillId="0" borderId="0" pivotButton="0" quotePrefix="0" xfId="0"/>
    <xf numFmtId="165" fontId="5" fillId="0" borderId="0" pivotButton="0" quotePrefix="0" xfId="0"/>
    <xf numFmtId="2" fontId="0" fillId="3" borderId="0" pivotButton="0" quotePrefix="0" xfId="0"/>
    <xf numFmtId="164" fontId="0" fillId="3" borderId="0" pivotButton="0" quotePrefix="0" xfId="0"/>
    <xf numFmtId="165" fontId="0" fillId="3" borderId="0" pivotButton="0" quotePrefix="0" xfId="0"/>
    <xf numFmtId="166" fontId="0" fillId="3" borderId="0" pivotButton="0" quotePrefix="0" xfId="0"/>
    <xf numFmtId="1" fontId="0" fillId="3" borderId="0" pivotButton="0" quotePrefix="0" xfId="0"/>
    <xf numFmtId="0" fontId="4" fillId="2" borderId="0" applyAlignment="1" pivotButton="0" quotePrefix="0" xfId="0">
      <alignment horizontal="center"/>
    </xf>
    <xf numFmtId="0" fontId="5" fillId="4" borderId="0" pivotButton="0" quotePrefix="0" xfId="0"/>
    <xf numFmtId="0" fontId="0" fillId="4" borderId="0" pivotButton="0" quotePrefix="0" xfId="0"/>
    <xf numFmtId="165" fontId="0" fillId="4" borderId="0" pivotButton="0" quotePrefix="0" xfId="0"/>
    <xf numFmtId="3" fontId="0" fillId="3" borderId="0" pivotButton="0" quotePrefix="0" xfId="0"/>
    <xf numFmtId="3" fontId="5" fillId="5" borderId="0" pivotButton="0" quotePrefix="0" xfId="0"/>
    <xf numFmtId="165" fontId="5" fillId="5" borderId="0" pivotButton="0" quotePrefix="0" xfId="0"/>
    <xf numFmtId="2" fontId="5" fillId="5" borderId="0" pivotButton="0" quotePrefix="0" xfId="0"/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wrapText="1"/>
    </xf>
    <xf numFmtId="164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Renda total acumulada (concursos + perna 2)</a:t>
            </a:r>
          </a:p>
        </rich>
      </tx>
    </title>
    <plotArea>
      <lineChart>
        <grouping val="standard"/>
        <ser>
          <idx val="0"/>
          <order val="0"/>
          <tx>
            <v>Conservador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'Realista'!$C$4:$K$4</f>
            </numRef>
          </cat>
          <val>
            <numRef>
              <f>'Conservador'!$C$38:$K$38</f>
            </numRef>
          </val>
        </ser>
        <ser>
          <idx val="1"/>
          <order val="1"/>
          <tx>
            <v>Realista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'Realista'!$C$4:$K$4</f>
            </numRef>
          </cat>
          <val>
            <numRef>
              <f>'Realista'!$C$38:$K$38</f>
            </numRef>
          </val>
        </ser>
        <ser>
          <idx val="2"/>
          <order val="2"/>
          <tx>
            <v>Otimista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'Realista'!$C$4:$K$4</f>
            </numRef>
          </cat>
          <val>
            <numRef>
              <f>'Otimista'!$C$38:$K$38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Caixa líquido dos concursos por trimestre</a:t>
            </a:r>
          </a:p>
        </rich>
      </tx>
    </title>
    <plotArea>
      <barChart>
        <barDir val="col"/>
        <grouping val="clustered"/>
        <ser>
          <idx val="0"/>
          <order val="0"/>
          <tx>
            <v>Conservador</v>
          </tx>
          <spPr>
            <a:ln xmlns:a="http://schemas.openxmlformats.org/drawingml/2006/main">
              <a:prstDash val="solid"/>
            </a:ln>
          </spPr>
          <cat>
            <numRef>
              <f>'Realista'!$C$4:$K$4</f>
            </numRef>
          </cat>
          <val>
            <numRef>
              <f>'Conservador'!$C$31:$K$31</f>
            </numRef>
          </val>
        </ser>
        <ser>
          <idx val="1"/>
          <order val="1"/>
          <tx>
            <v>Realista</v>
          </tx>
          <spPr>
            <a:ln xmlns:a="http://schemas.openxmlformats.org/drawingml/2006/main">
              <a:prstDash val="solid"/>
            </a:ln>
          </spPr>
          <cat>
            <numRef>
              <f>'Realista'!$C$4:$K$4</f>
            </numRef>
          </cat>
          <val>
            <numRef>
              <f>'Realista'!$C$31:$K$31</f>
            </numRef>
          </val>
        </ser>
        <ser>
          <idx val="2"/>
          <order val="2"/>
          <tx>
            <v>Otimista</v>
          </tx>
          <spPr>
            <a:ln xmlns:a="http://schemas.openxmlformats.org/drawingml/2006/main">
              <a:prstDash val="solid"/>
            </a:ln>
          </spPr>
          <cat>
            <numRef>
              <f>'Realista'!$C$4:$K$4</f>
            </numRef>
          </cat>
          <val>
            <numRef>
              <f>'Otimista'!$C$31:$K$31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5</col>
      <colOff>0</colOff>
      <row>3</row>
      <rowOff>0</rowOff>
    </from>
    <ext cx="6120000" cy="30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22</row>
      <rowOff>0</rowOff>
    </from>
    <ext cx="6120000" cy="30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PROJEÇÃO DOS CONCURSOS DE ARQUITETURA — OUT/2026 A DEZ/2028</t>
        </is>
      </c>
    </row>
    <row r="2">
      <c r="A2" s="2" t="inlineStr"/>
    </row>
    <row r="3">
      <c r="A3" s="2" t="inlineStr">
        <is>
          <t>O que é: um modelo trimestral (9 trimestres) com três cenários, do ritmo atual de concursos até o fim de 2028.</t>
        </is>
      </c>
    </row>
    <row r="4">
      <c r="A4" s="2" t="inlineStr">
        <is>
          <t>Como usar: as células AMARELAS são suposições. Mude a aba Premissas (e as linhas de inscrições nas abas de cenário) e tudo recalcula.</t>
        </is>
      </c>
    </row>
    <row r="5">
      <c r="A5" s="2" t="inlineStr"/>
    </row>
    <row r="6">
      <c r="A6" s="3" t="inlineStr">
        <is>
          <t>O que NÃO é dado medido:</t>
        </is>
      </c>
    </row>
    <row r="7">
      <c r="A7" s="2" t="inlineStr">
        <is>
          <t>• Chances, prêmios médios, honorários, margens, impostos, divisão com a JOJO e a renda da perna 2 são estimativas minhas.</t>
        </is>
      </c>
    </row>
    <row r="8">
      <c r="A8" s="2" t="inlineStr">
        <is>
          <t>• A renda da perna 2 é um chute total (R$ 6–8 mil/mês). É a premissa que mais mexe na renda total — coloque a sua.</t>
        </is>
      </c>
    </row>
    <row r="9">
      <c r="A9" s="2" t="inlineStr">
        <is>
          <t>• Os prêmios e prazos dos editais (UFC 21/10, Maringá 11/11) vêm do que li antes; confira nos editais.</t>
        </is>
      </c>
    </row>
    <row r="10">
      <c r="A10" s="2" t="inlineStr">
        <is>
          <t>• A UFC e o Maringá estão tratados como concursos nacionais genéricos. A UFC tem contrato muito maior; o modelo a subestima.</t>
        </is>
      </c>
    </row>
    <row r="11">
      <c r="A11" s="2" t="inlineStr">
        <is>
          <t>• A planilha anterior (24 meses) não estava neste ambiente; reconstruí as premissas a partir das conversas. Os números podem diferir um pouco dela.</t>
        </is>
      </c>
    </row>
    <row r="12">
      <c r="A12" s="2" t="inlineStr"/>
    </row>
    <row r="13">
      <c r="A13" s="3" t="inlineStr">
        <is>
          <t>Como o modelo funciona:</t>
        </is>
      </c>
    </row>
    <row r="14">
      <c r="A14" s="2" t="inlineStr">
        <is>
          <t>• Resultado de cada concurso sai um trimestre depois da inscrição.</t>
        </is>
      </c>
    </row>
    <row r="15">
      <c r="A15" s="2" t="inlineStr">
        <is>
          <t>• Um contrato ganho começa a pagar 3 trimestres depois do resultado e paga em 4 parcelas trimestrais iguais.</t>
        </is>
      </c>
    </row>
    <row r="16">
      <c r="A16" s="2" t="inlineStr">
        <is>
          <t>• Por isso, o que se ganha de 2028 em diante só vira caixa depois de 2028: a linha 'carteira a receber após 2028' mostra isso.</t>
        </is>
      </c>
    </row>
    <row r="17">
      <c r="A17" s="2" t="inlineStr">
        <is>
          <t>• Os cenários mostram o valor esperado (média). O resultado real é 0 ou um salto — veja a aba Monte Carlo, que mostra a distribuição.</t>
        </is>
      </c>
    </row>
    <row r="18">
      <c r="A18" s="2" t="inlineStr">
        <is>
          <t>• A aba Monte Carlo é FIXA (20 mil rodadas por cenário). Se você mudar as premissas, peça para rodar de novo.</t>
        </is>
      </c>
    </row>
    <row r="19">
      <c r="A19" s="2" t="inlineStr"/>
    </row>
    <row r="20">
      <c r="A20" s="2" t="inlineStr">
        <is>
          <t>Abas: Premissas · Conservador · Realista · Otimista · Resumo · Monte Carlo · Marcos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cols>
    <col width="62" customWidth="1" min="1" max="1"/>
    <col width="18" customWidth="1" min="2" max="2"/>
    <col width="18" customWidth="1" min="3" max="3"/>
    <col width="18" customWidth="1" min="4" max="4"/>
  </cols>
  <sheetData>
    <row r="1">
      <c r="A1" s="4" t="inlineStr">
        <is>
          <t>RESUMO — OUT/2026 A DEZ/2028</t>
        </is>
      </c>
    </row>
    <row r="2">
      <c r="A2" t="inlineStr">
        <is>
          <t>Valores esperados (média). Veja a aba Monte Carlo para a dispersão. Suposições amarelas na aba Premissas.</t>
        </is>
      </c>
    </row>
    <row r="4">
      <c r="A4" s="5" t="inlineStr">
        <is>
          <t>Total do período</t>
        </is>
      </c>
      <c r="B4" s="5" t="inlineStr">
        <is>
          <t>Conservador</t>
        </is>
      </c>
      <c r="C4" s="5" t="inlineStr">
        <is>
          <t>Realista</t>
        </is>
      </c>
      <c r="D4" s="5" t="inlineStr">
        <is>
          <t>Otimista</t>
        </is>
      </c>
    </row>
    <row r="5">
      <c r="A5" t="inlineStr">
        <is>
          <t>Concursos inscritos (nacionais + internacionais)</t>
        </is>
      </c>
      <c r="B5" s="6">
        <f>'Conservador'!L7+'Conservador'!L8</f>
        <v/>
      </c>
      <c r="C5" s="6">
        <f>'Realista'!L7+'Realista'!L8</f>
        <v/>
      </c>
      <c r="D5" s="6">
        <f>'Otimista'!L7+'Otimista'!L8</f>
        <v/>
      </c>
    </row>
    <row r="6">
      <c r="A6" t="inlineStr">
        <is>
          <t>Horas em concursos</t>
        </is>
      </c>
      <c r="B6" s="7">
        <f>'Conservador'!L20</f>
        <v/>
      </c>
      <c r="C6" s="7">
        <f>'Realista'!L20</f>
        <v/>
      </c>
      <c r="D6" s="7">
        <f>'Otimista'!L20</f>
        <v/>
      </c>
    </row>
    <row r="7">
      <c r="A7" t="inlineStr">
        <is>
          <t>Prêmios esperados (bruto)</t>
        </is>
      </c>
      <c r="B7" s="8">
        <f>'Conservador'!L25</f>
        <v/>
      </c>
      <c r="C7" s="8">
        <f>'Realista'!L25</f>
        <v/>
      </c>
      <c r="D7" s="8">
        <f>'Otimista'!L25</f>
        <v/>
      </c>
    </row>
    <row r="8">
      <c r="A8" t="inlineStr">
        <is>
          <t>Contratos esperados ganhos (nº)</t>
        </is>
      </c>
      <c r="B8" s="9">
        <f>'Conservador'!L14</f>
        <v/>
      </c>
      <c r="C8" s="9">
        <f>'Realista'!L14</f>
        <v/>
      </c>
      <c r="D8" s="9">
        <f>'Otimista'!L14</f>
        <v/>
      </c>
    </row>
    <row r="9">
      <c r="A9" t="inlineStr">
        <is>
          <t>Contratos recebidos até dez/2028 (sua parte, bruto de imposto)</t>
        </is>
      </c>
      <c r="B9" s="8">
        <f>'Conservador'!L26</f>
        <v/>
      </c>
      <c r="C9" s="8">
        <f>'Realista'!L26</f>
        <v/>
      </c>
      <c r="D9" s="8">
        <f>'Otimista'!L26</f>
        <v/>
      </c>
    </row>
    <row r="10">
      <c r="A10" t="inlineStr">
        <is>
          <t>Caixa líquido dos concursos</t>
        </is>
      </c>
      <c r="B10" s="8">
        <f>'Conservador'!L31</f>
        <v/>
      </c>
      <c r="C10" s="8">
        <f>'Realista'!L31</f>
        <v/>
      </c>
      <c r="D10" s="8">
        <f>'Otimista'!L31</f>
        <v/>
      </c>
    </row>
    <row r="11">
      <c r="A11" t="inlineStr">
        <is>
          <t>Líquido depois do valor das horas</t>
        </is>
      </c>
      <c r="B11" s="8">
        <f>'Conservador'!L33</f>
        <v/>
      </c>
      <c r="C11" s="8">
        <f>'Realista'!L33</f>
        <v/>
      </c>
      <c r="D11" s="8">
        <f>'Otimista'!L33</f>
        <v/>
      </c>
    </row>
    <row r="12">
      <c r="A12" t="inlineStr">
        <is>
          <t>Perna 2 (PSCIP/Revit/casa)</t>
        </is>
      </c>
      <c r="B12" s="8">
        <f>'Conservador'!L35</f>
        <v/>
      </c>
      <c r="C12" s="8">
        <f>'Realista'!L35</f>
        <v/>
      </c>
      <c r="D12" s="8">
        <f>'Otimista'!L35</f>
        <v/>
      </c>
    </row>
    <row r="13">
      <c r="A13" s="10" t="inlineStr">
        <is>
          <t>RENDA TOTAL no período</t>
        </is>
      </c>
      <c r="B13" s="11">
        <f>'Conservador'!L36</f>
        <v/>
      </c>
      <c r="C13" s="11">
        <f>'Realista'!L36</f>
        <v/>
      </c>
      <c r="D13" s="11">
        <f>'Otimista'!L36</f>
        <v/>
      </c>
    </row>
    <row r="14">
      <c r="A14" t="inlineStr">
        <is>
          <t>Renda mensal média no período</t>
        </is>
      </c>
      <c r="B14" s="8">
        <f>'Conservador'!L37</f>
        <v/>
      </c>
      <c r="C14" s="8">
        <f>'Realista'!L37</f>
        <v/>
      </c>
      <c r="D14" s="8">
        <f>'Otimista'!L37</f>
        <v/>
      </c>
    </row>
    <row r="15">
      <c r="A15" t="inlineStr">
        <is>
          <t>Carteira de contratos ganhos a receber DEPOIS de 2028 (líquido)</t>
        </is>
      </c>
      <c r="B15" s="8">
        <f>'Conservador'!L42</f>
        <v/>
      </c>
      <c r="C15" s="8">
        <f>'Realista'!L42</f>
        <v/>
      </c>
      <c r="D15" s="8">
        <f>'Otimista'!L42</f>
        <v/>
      </c>
    </row>
    <row r="18">
      <c r="A18" s="10" t="inlineStr">
        <is>
          <t>Por ano — Conservador</t>
        </is>
      </c>
    </row>
    <row r="19">
      <c r="A19" s="5" t="inlineStr"/>
      <c r="B19" s="5" t="inlineStr">
        <is>
          <t>2026 (só T4)</t>
        </is>
      </c>
      <c r="C19" s="5" t="inlineStr">
        <is>
          <t>2027</t>
        </is>
      </c>
      <c r="D19" s="5" t="inlineStr">
        <is>
          <t>2028</t>
        </is>
      </c>
    </row>
    <row r="20">
      <c r="A20" t="inlineStr">
        <is>
          <t>Prêmios (bruto)</t>
        </is>
      </c>
      <c r="B20" s="8">
        <f>SUM('Conservador'!C25:C25)</f>
        <v/>
      </c>
      <c r="C20" s="8">
        <f>SUM('Conservador'!D25:G25)</f>
        <v/>
      </c>
      <c r="D20" s="8">
        <f>SUM('Conservador'!H25:K25)</f>
        <v/>
      </c>
    </row>
    <row r="21">
      <c r="A21" t="inlineStr">
        <is>
          <t>Contratos (sua parte)</t>
        </is>
      </c>
      <c r="B21" s="8">
        <f>SUM('Conservador'!C26:C26)</f>
        <v/>
      </c>
      <c r="C21" s="8">
        <f>SUM('Conservador'!D26:G26)</f>
        <v/>
      </c>
      <c r="D21" s="8">
        <f>SUM('Conservador'!H26:K26)</f>
        <v/>
      </c>
    </row>
    <row r="22">
      <c r="A22" t="inlineStr">
        <is>
          <t>Caixa líquido dos concursos</t>
        </is>
      </c>
      <c r="B22" s="8">
        <f>SUM('Conservador'!C31:C31)</f>
        <v/>
      </c>
      <c r="C22" s="8">
        <f>SUM('Conservador'!D31:G31)</f>
        <v/>
      </c>
      <c r="D22" s="8">
        <f>SUM('Conservador'!H31:K31)</f>
        <v/>
      </c>
    </row>
    <row r="23">
      <c r="A23" t="inlineStr">
        <is>
          <t>Perna 2</t>
        </is>
      </c>
      <c r="B23" s="8">
        <f>SUM('Conservador'!C35:C35)</f>
        <v/>
      </c>
      <c r="C23" s="8">
        <f>SUM('Conservador'!D35:G35)</f>
        <v/>
      </c>
      <c r="D23" s="8">
        <f>SUM('Conservador'!H35:K35)</f>
        <v/>
      </c>
    </row>
    <row r="24">
      <c r="A24" t="inlineStr">
        <is>
          <t>Renda total</t>
        </is>
      </c>
      <c r="B24" s="8">
        <f>SUM('Conservador'!C36:C36)</f>
        <v/>
      </c>
      <c r="C24" s="8">
        <f>SUM('Conservador'!D36:G36)</f>
        <v/>
      </c>
      <c r="D24" s="8">
        <f>SUM('Conservador'!H36:K36)</f>
        <v/>
      </c>
    </row>
    <row r="25">
      <c r="A25" t="inlineStr">
        <is>
          <t>Horas totais</t>
        </is>
      </c>
      <c r="B25" s="7">
        <f>SUM('Conservador'!C21:C21)</f>
        <v/>
      </c>
      <c r="C25" s="7">
        <f>SUM('Conservador'!D21:G21)</f>
        <v/>
      </c>
      <c r="D25" s="7">
        <f>SUM('Conservador'!H21:K21)</f>
        <v/>
      </c>
    </row>
    <row r="26">
      <c r="A26" t="inlineStr">
        <is>
          <t>Renda mensal média</t>
        </is>
      </c>
      <c r="B26" s="11">
        <f>B24/3</f>
        <v/>
      </c>
      <c r="C26" s="11">
        <f>C24/12</f>
        <v/>
      </c>
      <c r="D26" s="11">
        <f>D24/12</f>
        <v/>
      </c>
    </row>
    <row r="29">
      <c r="A29" s="10" t="inlineStr">
        <is>
          <t>Por ano — Realista</t>
        </is>
      </c>
    </row>
    <row r="30">
      <c r="A30" s="5" t="inlineStr"/>
      <c r="B30" s="5" t="inlineStr">
        <is>
          <t>2026 (só T4)</t>
        </is>
      </c>
      <c r="C30" s="5" t="inlineStr">
        <is>
          <t>2027</t>
        </is>
      </c>
      <c r="D30" s="5" t="inlineStr">
        <is>
          <t>2028</t>
        </is>
      </c>
    </row>
    <row r="31">
      <c r="A31" t="inlineStr">
        <is>
          <t>Prêmios (bruto)</t>
        </is>
      </c>
      <c r="B31" s="8">
        <f>SUM('Realista'!C25:C25)</f>
        <v/>
      </c>
      <c r="C31" s="8">
        <f>SUM('Realista'!D25:G25)</f>
        <v/>
      </c>
      <c r="D31" s="8">
        <f>SUM('Realista'!H25:K25)</f>
        <v/>
      </c>
    </row>
    <row r="32">
      <c r="A32" t="inlineStr">
        <is>
          <t>Contratos (sua parte)</t>
        </is>
      </c>
      <c r="B32" s="8">
        <f>SUM('Realista'!C26:C26)</f>
        <v/>
      </c>
      <c r="C32" s="8">
        <f>SUM('Realista'!D26:G26)</f>
        <v/>
      </c>
      <c r="D32" s="8">
        <f>SUM('Realista'!H26:K26)</f>
        <v/>
      </c>
    </row>
    <row r="33">
      <c r="A33" t="inlineStr">
        <is>
          <t>Caixa líquido dos concursos</t>
        </is>
      </c>
      <c r="B33" s="8">
        <f>SUM('Realista'!C31:C31)</f>
        <v/>
      </c>
      <c r="C33" s="8">
        <f>SUM('Realista'!D31:G31)</f>
        <v/>
      </c>
      <c r="D33" s="8">
        <f>SUM('Realista'!H31:K31)</f>
        <v/>
      </c>
    </row>
    <row r="34">
      <c r="A34" t="inlineStr">
        <is>
          <t>Perna 2</t>
        </is>
      </c>
      <c r="B34" s="8">
        <f>SUM('Realista'!C35:C35)</f>
        <v/>
      </c>
      <c r="C34" s="8">
        <f>SUM('Realista'!D35:G35)</f>
        <v/>
      </c>
      <c r="D34" s="8">
        <f>SUM('Realista'!H35:K35)</f>
        <v/>
      </c>
    </row>
    <row r="35">
      <c r="A35" t="inlineStr">
        <is>
          <t>Renda total</t>
        </is>
      </c>
      <c r="B35" s="8">
        <f>SUM('Realista'!C36:C36)</f>
        <v/>
      </c>
      <c r="C35" s="8">
        <f>SUM('Realista'!D36:G36)</f>
        <v/>
      </c>
      <c r="D35" s="8">
        <f>SUM('Realista'!H36:K36)</f>
        <v/>
      </c>
    </row>
    <row r="36">
      <c r="A36" t="inlineStr">
        <is>
          <t>Horas totais</t>
        </is>
      </c>
      <c r="B36" s="7">
        <f>SUM('Realista'!C21:C21)</f>
        <v/>
      </c>
      <c r="C36" s="7">
        <f>SUM('Realista'!D21:G21)</f>
        <v/>
      </c>
      <c r="D36" s="7">
        <f>SUM('Realista'!H21:K21)</f>
        <v/>
      </c>
    </row>
    <row r="37">
      <c r="A37" t="inlineStr">
        <is>
          <t>Renda mensal média</t>
        </is>
      </c>
      <c r="B37" s="11">
        <f>B35/3</f>
        <v/>
      </c>
      <c r="C37" s="11">
        <f>C35/12</f>
        <v/>
      </c>
      <c r="D37" s="11">
        <f>D35/12</f>
        <v/>
      </c>
    </row>
    <row r="40">
      <c r="A40" s="10" t="inlineStr">
        <is>
          <t>Por ano — Otimista</t>
        </is>
      </c>
    </row>
    <row r="41">
      <c r="A41" s="5" t="inlineStr"/>
      <c r="B41" s="5" t="inlineStr">
        <is>
          <t>2026 (só T4)</t>
        </is>
      </c>
      <c r="C41" s="5" t="inlineStr">
        <is>
          <t>2027</t>
        </is>
      </c>
      <c r="D41" s="5" t="inlineStr">
        <is>
          <t>2028</t>
        </is>
      </c>
    </row>
    <row r="42">
      <c r="A42" t="inlineStr">
        <is>
          <t>Prêmios (bruto)</t>
        </is>
      </c>
      <c r="B42" s="8">
        <f>SUM('Otimista'!C25:C25)</f>
        <v/>
      </c>
      <c r="C42" s="8">
        <f>SUM('Otimista'!D25:G25)</f>
        <v/>
      </c>
      <c r="D42" s="8">
        <f>SUM('Otimista'!H25:K25)</f>
        <v/>
      </c>
    </row>
    <row r="43">
      <c r="A43" t="inlineStr">
        <is>
          <t>Contratos (sua parte)</t>
        </is>
      </c>
      <c r="B43" s="8">
        <f>SUM('Otimista'!C26:C26)</f>
        <v/>
      </c>
      <c r="C43" s="8">
        <f>SUM('Otimista'!D26:G26)</f>
        <v/>
      </c>
      <c r="D43" s="8">
        <f>SUM('Otimista'!H26:K26)</f>
        <v/>
      </c>
    </row>
    <row r="44">
      <c r="A44" t="inlineStr">
        <is>
          <t>Caixa líquido dos concursos</t>
        </is>
      </c>
      <c r="B44" s="8">
        <f>SUM('Otimista'!C31:C31)</f>
        <v/>
      </c>
      <c r="C44" s="8">
        <f>SUM('Otimista'!D31:G31)</f>
        <v/>
      </c>
      <c r="D44" s="8">
        <f>SUM('Otimista'!H31:K31)</f>
        <v/>
      </c>
    </row>
    <row r="45">
      <c r="A45" t="inlineStr">
        <is>
          <t>Perna 2</t>
        </is>
      </c>
      <c r="B45" s="8">
        <f>SUM('Otimista'!C35:C35)</f>
        <v/>
      </c>
      <c r="C45" s="8">
        <f>SUM('Otimista'!D35:G35)</f>
        <v/>
      </c>
      <c r="D45" s="8">
        <f>SUM('Otimista'!H35:K35)</f>
        <v/>
      </c>
    </row>
    <row r="46">
      <c r="A46" t="inlineStr">
        <is>
          <t>Renda total</t>
        </is>
      </c>
      <c r="B46" s="8">
        <f>SUM('Otimista'!C36:C36)</f>
        <v/>
      </c>
      <c r="C46" s="8">
        <f>SUM('Otimista'!D36:G36)</f>
        <v/>
      </c>
      <c r="D46" s="8">
        <f>SUM('Otimista'!H36:K36)</f>
        <v/>
      </c>
    </row>
    <row r="47">
      <c r="A47" t="inlineStr">
        <is>
          <t>Horas totais</t>
        </is>
      </c>
      <c r="B47" s="7">
        <f>SUM('Otimista'!C21:C21)</f>
        <v/>
      </c>
      <c r="C47" s="7">
        <f>SUM('Otimista'!D21:G21)</f>
        <v/>
      </c>
      <c r="D47" s="7">
        <f>SUM('Otimista'!H21:K21)</f>
        <v/>
      </c>
    </row>
    <row r="48">
      <c r="A48" t="inlineStr">
        <is>
          <t>Renda mensal média</t>
        </is>
      </c>
      <c r="B48" s="11">
        <f>B46/3</f>
        <v/>
      </c>
      <c r="C48" s="11">
        <f>C46/12</f>
        <v/>
      </c>
      <c r="D48" s="11">
        <f>D46/12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8" customWidth="1" min="1" max="1"/>
    <col width="9" customWidth="1" min="2" max="2"/>
    <col width="15" customWidth="1" min="3" max="3"/>
    <col width="15" customWidth="1" min="4" max="4"/>
    <col width="15" customWidth="1" min="5" max="5"/>
    <col width="80" customWidth="1" min="6" max="6"/>
  </cols>
  <sheetData>
    <row r="1">
      <c r="A1" s="4" t="inlineStr">
        <is>
          <t>PREMISSAS (células amarelas = você troca)</t>
        </is>
      </c>
    </row>
    <row r="2">
      <c r="A2" t="inlineStr">
        <is>
          <t>Tudo aqui é estimativa minha, não dado medido, salvo onde o edital for citado.</t>
        </is>
      </c>
    </row>
    <row r="4">
      <c r="A4" s="5" t="inlineStr">
        <is>
          <t>Parâmetro</t>
        </is>
      </c>
      <c r="B4" s="5" t="inlineStr">
        <is>
          <t>Unid.</t>
        </is>
      </c>
      <c r="C4" s="5" t="inlineStr">
        <is>
          <t>Conservador</t>
        </is>
      </c>
      <c r="D4" s="5" t="inlineStr">
        <is>
          <t>Realista</t>
        </is>
      </c>
      <c r="E4" s="5" t="inlineStr">
        <is>
          <t>Otimista</t>
        </is>
      </c>
      <c r="F4" s="5" t="inlineStr">
        <is>
          <t>Observação</t>
        </is>
      </c>
    </row>
    <row r="5">
      <c r="A5" t="inlineStr">
        <is>
          <t>Câmbio EUR→BRL</t>
        </is>
      </c>
      <c r="B5" t="inlineStr">
        <is>
          <t>R$/€</t>
        </is>
      </c>
      <c r="C5" s="12" t="n">
        <v>6.2</v>
      </c>
      <c r="D5" s="12" t="n">
        <v>6.2</v>
      </c>
      <c r="E5" s="12" t="n">
        <v>6.2</v>
      </c>
      <c r="F5" t="inlineStr">
        <is>
          <t>Chute. Prêmios internacionais convertidos por ele.</t>
        </is>
      </c>
    </row>
    <row r="6">
      <c r="A6" t="inlineStr">
        <is>
          <t>Chance de 1º lugar por inscrição nacional</t>
        </is>
      </c>
      <c r="B6" t="inlineStr">
        <is>
          <t>%</t>
        </is>
      </c>
      <c r="C6" s="13" t="n">
        <v>0.02</v>
      </c>
      <c r="D6" s="13" t="n">
        <v>0.035</v>
      </c>
      <c r="E6" s="13" t="n">
        <v>0.05</v>
      </c>
      <c r="F6" t="inlineStr">
        <is>
          <t>Estimativa minha: 2–5% no nacional aberto (extremos e meio da faixa).</t>
        </is>
      </c>
    </row>
    <row r="7">
      <c r="A7" t="inlineStr">
        <is>
          <t>Chance de menção/2º–3º por inscrição nacional</t>
        </is>
      </c>
      <c r="B7" t="inlineStr">
        <is>
          <t>%</t>
        </is>
      </c>
      <c r="C7" s="13" t="n">
        <v>0.12</v>
      </c>
      <c r="D7" s="13" t="n">
        <v>0.18</v>
      </c>
      <c r="E7" s="13" t="n">
        <v>0.24</v>
      </c>
      <c r="F7" t="inlineStr">
        <is>
          <t>Estimativa minha (somada ao 1º dá 15–25% de 'premiado').</t>
        </is>
      </c>
    </row>
    <row r="8">
      <c r="A8" t="inlineStr">
        <is>
          <t>Chance de 1º lugar por inscrição internacional</t>
        </is>
      </c>
      <c r="B8" t="inlineStr">
        <is>
          <t>%</t>
        </is>
      </c>
      <c r="C8" s="13" t="n">
        <v>0.005</v>
      </c>
      <c r="D8" s="13" t="n">
        <v>0.01</v>
      </c>
      <c r="E8" s="13" t="n">
        <v>0.015</v>
      </c>
      <c r="F8" t="inlineStr">
        <is>
          <t>Estimativa minha: ~1% no internacional.</t>
        </is>
      </c>
    </row>
    <row r="9">
      <c r="A9" t="inlineStr">
        <is>
          <t>Chance de menção/colocação por inscrição internacional</t>
        </is>
      </c>
      <c r="B9" t="inlineStr">
        <is>
          <t>%</t>
        </is>
      </c>
      <c r="C9" s="13" t="n">
        <v>0.06</v>
      </c>
      <c r="D9" s="13" t="n">
        <v>0.1</v>
      </c>
      <c r="E9" s="13" t="n">
        <v>0.14</v>
      </c>
      <c r="F9" t="inlineStr">
        <is>
          <t>Estimativa minha.</t>
        </is>
      </c>
    </row>
    <row r="10">
      <c r="A10" t="inlineStr">
        <is>
          <t>Prêmio médio do 1º lugar nacional</t>
        </is>
      </c>
      <c r="B10" t="inlineStr">
        <is>
          <t>R$</t>
        </is>
      </c>
      <c r="C10" s="14" t="n">
        <v>40000</v>
      </c>
      <c r="D10" s="14" t="n">
        <v>60000</v>
      </c>
      <c r="E10" s="14" t="n">
        <v>80000</v>
      </c>
      <c r="F10" t="inlineStr">
        <is>
          <t>Chute. Confira nos editais; a UFC não teve os prêmios menores levantados.</t>
        </is>
      </c>
    </row>
    <row r="11">
      <c r="A11" t="inlineStr">
        <is>
          <t>Prêmio médio de menção/colocação nacional</t>
        </is>
      </c>
      <c r="B11" t="inlineStr">
        <is>
          <t>R$</t>
        </is>
      </c>
      <c r="C11" s="14" t="n">
        <v>8000</v>
      </c>
      <c r="D11" s="14" t="n">
        <v>8000</v>
      </c>
      <c r="E11" s="14" t="n">
        <v>8000</v>
      </c>
      <c r="F11" t="inlineStr">
        <is>
          <t>Chute.</t>
        </is>
      </c>
    </row>
    <row r="12">
      <c r="A12" t="inlineStr">
        <is>
          <t>Prêmio médio do 1º lugar internacional</t>
        </is>
      </c>
      <c r="B12" t="inlineStr">
        <is>
          <t>€</t>
        </is>
      </c>
      <c r="C12" s="15" t="n">
        <v>10000</v>
      </c>
      <c r="D12" s="15" t="n">
        <v>10000</v>
      </c>
      <c r="E12" s="15" t="n">
        <v>10000</v>
      </c>
      <c r="F12" t="inlineStr">
        <is>
          <t>Chute.</t>
        </is>
      </c>
    </row>
    <row r="13">
      <c r="A13" t="inlineStr">
        <is>
          <t>Prêmio médio de menção internacional</t>
        </is>
      </c>
      <c r="B13" t="inlineStr">
        <is>
          <t>€</t>
        </is>
      </c>
      <c r="C13" s="15" t="n">
        <v>1500</v>
      </c>
      <c r="D13" s="15" t="n">
        <v>1500</v>
      </c>
      <c r="E13" s="15" t="n">
        <v>1500</v>
      </c>
      <c r="F13" t="inlineStr">
        <is>
          <t>Chute.</t>
        </is>
      </c>
    </row>
    <row r="14">
      <c r="A14" t="inlineStr">
        <is>
          <t>Chance de virar contrato quando ganha 1º nacional</t>
        </is>
      </c>
      <c r="B14" t="inlineStr">
        <is>
          <t>%</t>
        </is>
      </c>
      <c r="C14" s="13" t="n">
        <v>0.4</v>
      </c>
      <c r="D14" s="13" t="n">
        <v>0.6</v>
      </c>
      <c r="E14" s="13" t="n">
        <v>0.75</v>
      </c>
      <c r="F14" t="inlineStr">
        <is>
          <t>Depende de CNPJ e acervo CAT-A. Sem eles, cai muito.</t>
        </is>
      </c>
    </row>
    <row r="15">
      <c r="A15" t="inlineStr">
        <is>
          <t>Honorário bruto de um contrato típico</t>
        </is>
      </c>
      <c r="B15" t="inlineStr">
        <is>
          <t>R$</t>
        </is>
      </c>
      <c r="C15" s="14" t="n">
        <v>250000</v>
      </c>
      <c r="D15" s="14" t="n">
        <v>350000</v>
      </c>
      <c r="E15" s="14" t="n">
        <v>600000</v>
      </c>
      <c r="F15" t="inlineStr">
        <is>
          <t>Faixa que dei antes: R$ 150–500 mil. A UFC (obra de R$ 7,24 mi) pode ser maior.</t>
        </is>
      </c>
    </row>
    <row r="16">
      <c r="A16" t="inlineStr">
        <is>
          <t>Margem sobre o honorário (depois de equipe/terceiros)</t>
        </is>
      </c>
      <c r="B16" t="inlineStr">
        <is>
          <t>%</t>
        </is>
      </c>
      <c r="C16" s="13" t="n">
        <v>0.55</v>
      </c>
      <c r="D16" s="13" t="n">
        <v>0.55</v>
      </c>
      <c r="E16" s="13" t="n">
        <v>0.55</v>
      </c>
      <c r="F16" t="inlineStr">
        <is>
          <t>Chute.</t>
        </is>
      </c>
    </row>
    <row r="17">
      <c r="A17" t="inlineStr">
        <is>
          <t>Sua parte do contrato (divisão com a JOJO/sócios)</t>
        </is>
      </c>
      <c r="B17" t="inlineStr">
        <is>
          <t>%</t>
        </is>
      </c>
      <c r="C17" s="13" t="n">
        <v>0.7</v>
      </c>
      <c r="D17" s="13" t="n">
        <v>0.7</v>
      </c>
      <c r="E17" s="13" t="n">
        <v>0.7</v>
      </c>
      <c r="F17" t="inlineStr">
        <is>
          <t>Chute. Na planilha antiga estava 100%, o que superestima.</t>
        </is>
      </c>
    </row>
    <row r="18">
      <c r="A18" t="inlineStr">
        <is>
          <t>Imposto sobre prêmios</t>
        </is>
      </c>
      <c r="B18" t="inlineStr">
        <is>
          <t>%</t>
        </is>
      </c>
      <c r="C18" s="13" t="n">
        <v>0.15</v>
      </c>
      <c r="D18" s="13" t="n">
        <v>0.15</v>
      </c>
      <c r="E18" s="13" t="n">
        <v>0.15</v>
      </c>
      <c r="F18" t="inlineStr">
        <is>
          <t>Chute. Confirme com contador.</t>
        </is>
      </c>
    </row>
    <row r="19">
      <c r="A19" t="inlineStr">
        <is>
          <t>Imposto sobre contratos</t>
        </is>
      </c>
      <c r="B19" t="inlineStr">
        <is>
          <t>%</t>
        </is>
      </c>
      <c r="C19" s="13" t="n">
        <v>0.16</v>
      </c>
      <c r="D19" s="13" t="n">
        <v>0.16</v>
      </c>
      <c r="E19" s="13" t="n">
        <v>0.16</v>
      </c>
      <c r="F19" t="inlineStr">
        <is>
          <t>Chute (Simples/Lucro presumido).</t>
        </is>
      </c>
    </row>
    <row r="20">
      <c r="A20" t="inlineStr">
        <is>
          <t>Horas por concurso nacional grande</t>
        </is>
      </c>
      <c r="B20" t="inlineStr">
        <is>
          <t>h</t>
        </is>
      </c>
      <c r="C20" s="16" t="n">
        <v>100</v>
      </c>
      <c r="D20" s="16" t="n">
        <v>100</v>
      </c>
      <c r="E20" s="16" t="n">
        <v>100</v>
      </c>
      <c r="F20" t="inlineStr">
        <is>
          <t>Faixa que dei antes: 60–120 h.</t>
        </is>
      </c>
    </row>
    <row r="21">
      <c r="A21" t="inlineStr">
        <is>
          <t>Horas por concurso internacional</t>
        </is>
      </c>
      <c r="B21" t="inlineStr">
        <is>
          <t>h</t>
        </is>
      </c>
      <c r="C21" s="16" t="n">
        <v>70</v>
      </c>
      <c r="D21" s="16" t="n">
        <v>70</v>
      </c>
      <c r="E21" s="16" t="n">
        <v>70</v>
      </c>
      <c r="F21" t="inlineStr">
        <is>
          <t>Estimativa.</t>
        </is>
      </c>
    </row>
    <row r="22">
      <c r="A22" t="inlineStr">
        <is>
          <t>Horas de execução de um contrato (anteprojeto→executivo)</t>
        </is>
      </c>
      <c r="B22" t="inlineStr">
        <is>
          <t>h</t>
        </is>
      </c>
      <c r="C22" s="16" t="n">
        <v>1200</v>
      </c>
      <c r="D22" s="16" t="n">
        <v>1200</v>
      </c>
      <c r="E22" s="16" t="n">
        <v>1200</v>
      </c>
      <c r="F22" t="inlineStr">
        <is>
          <t>Chute. Pesa na capacidade em 2028.</t>
        </is>
      </c>
    </row>
    <row r="23">
      <c r="A23" t="inlineStr">
        <is>
          <t>Teto de horas por trimestre (concurso + contrato)</t>
        </is>
      </c>
      <c r="B23" t="inlineStr">
        <is>
          <t>h</t>
        </is>
      </c>
      <c r="C23" s="16" t="n">
        <v>480</v>
      </c>
      <c r="D23" s="16" t="n">
        <v>480</v>
      </c>
      <c r="E23" s="16" t="n">
        <v>480</v>
      </c>
      <c r="F23" t="inlineStr">
        <is>
          <t>160 h/mês, o teto que usei na planilha.</t>
        </is>
      </c>
    </row>
    <row r="24">
      <c r="A24" t="inlineStr">
        <is>
          <t>Valor da sua hora (custo de oportunidade)</t>
        </is>
      </c>
      <c r="B24" t="inlineStr">
        <is>
          <t>R$/h</t>
        </is>
      </c>
      <c r="C24" s="14" t="n">
        <v>120</v>
      </c>
      <c r="D24" s="14" t="n">
        <v>120</v>
      </c>
      <c r="E24" s="14" t="n">
        <v>120</v>
      </c>
      <c r="F24" t="inlineStr">
        <is>
          <t>A mesma R$ 120/h da planilha anterior.</t>
        </is>
      </c>
    </row>
    <row r="25">
      <c r="A25" t="inlineStr">
        <is>
          <t>Ferramentas (Claude, Magnific, licenças)</t>
        </is>
      </c>
      <c r="B25" t="inlineStr">
        <is>
          <t>R$/mês</t>
        </is>
      </c>
      <c r="C25" s="14" t="n">
        <v>2500</v>
      </c>
      <c r="D25" s="14" t="n">
        <v>2500</v>
      </c>
      <c r="E25" s="14" t="n">
        <v>2500</v>
      </c>
      <c r="F25" t="inlineStr">
        <is>
          <t>Faixa que dei antes: R$ 1,5–4 mil/mês.</t>
        </is>
      </c>
    </row>
    <row r="26">
      <c r="A26" t="inlineStr">
        <is>
          <t>Parte das ferramentas atribuída aos concursos</t>
        </is>
      </c>
      <c r="B26" t="inlineStr">
        <is>
          <t>%</t>
        </is>
      </c>
      <c r="C26" s="13" t="n">
        <v>0.6</v>
      </c>
      <c r="D26" s="13" t="n">
        <v>0.6</v>
      </c>
      <c r="E26" s="13" t="n">
        <v>0.6</v>
      </c>
      <c r="F26" t="inlineStr">
        <is>
          <t>Chute. O resto serve à perna 2 e a outros trabalhos.</t>
        </is>
      </c>
    </row>
    <row r="27">
      <c r="A27" t="inlineStr">
        <is>
          <t>Inscrição média de concurso internacional</t>
        </is>
      </c>
      <c r="B27" t="inlineStr">
        <is>
          <t>R$</t>
        </is>
      </c>
      <c r="C27" s="14" t="n">
        <v>620</v>
      </c>
      <c r="D27" s="14" t="n">
        <v>620</v>
      </c>
      <c r="E27" s="14" t="n">
        <v>620</v>
      </c>
      <c r="F27" t="inlineStr">
        <is>
          <t>≈ € 100 × câmbio.</t>
        </is>
      </c>
    </row>
    <row r="28">
      <c r="A28" t="inlineStr">
        <is>
          <t>CNPJ + contabilidade (a partir de T1/27)</t>
        </is>
      </c>
      <c r="B28" t="inlineStr">
        <is>
          <t>R$/mês</t>
        </is>
      </c>
      <c r="C28" s="14" t="n">
        <v>600</v>
      </c>
      <c r="D28" s="14" t="n">
        <v>600</v>
      </c>
      <c r="E28" s="14" t="n">
        <v>600</v>
      </c>
      <c r="F28" t="inlineStr">
        <is>
          <t>Chute. Assume o CNPJ aberto até dez/2026.</t>
        </is>
      </c>
    </row>
    <row r="29">
      <c r="A29" t="inlineStr">
        <is>
          <t>Renda mensal da 'perna 2' (PSCIP/PICIP, Revit, casa)</t>
        </is>
      </c>
      <c r="B29" t="inlineStr">
        <is>
          <t>R$/mês</t>
        </is>
      </c>
      <c r="C29" s="14" t="n">
        <v>6000</v>
      </c>
      <c r="D29" s="14" t="n">
        <v>7000</v>
      </c>
      <c r="E29" s="14" t="n">
        <v>8000</v>
      </c>
      <c r="F29" t="inlineStr">
        <is>
          <t>CHUTE TOTAL. Troque pelo seu número real.</t>
        </is>
      </c>
    </row>
    <row r="30">
      <c r="A30" t="inlineStr">
        <is>
          <t>Crescimento anual da perna 2</t>
        </is>
      </c>
      <c r="B30" t="inlineStr">
        <is>
          <t>%</t>
        </is>
      </c>
      <c r="C30" s="13" t="n">
        <v>0</v>
      </c>
      <c r="D30" s="13" t="n">
        <v>0.08</v>
      </c>
      <c r="E30" s="13" t="n">
        <v>0.12</v>
      </c>
      <c r="F30" t="inlineStr">
        <is>
          <t>Chute.</t>
        </is>
      </c>
    </row>
    <row r="31">
      <c r="A31" t="inlineStr">
        <is>
          <t>Alta da perna 2 após ganhar autoridade (menção/1º)</t>
        </is>
      </c>
      <c r="B31" t="inlineStr">
        <is>
          <t>%</t>
        </is>
      </c>
      <c r="C31" s="13" t="n">
        <v>0</v>
      </c>
      <c r="D31" s="13" t="n">
        <v>0.15</v>
      </c>
      <c r="E31" s="13" t="n">
        <v>0.3</v>
      </c>
      <c r="F31" t="inlineStr">
        <is>
          <t>Cliente privado paga mais depois de prêmio. Chute.</t>
        </is>
      </c>
    </row>
    <row r="32">
      <c r="A32" t="inlineStr">
        <is>
          <t>Trimestre (nº) em que a alta começa (1=T4/26 … 9=T4/28)</t>
        </is>
      </c>
      <c r="B32" t="inlineStr">
        <is>
          <t>nº</t>
        </is>
      </c>
      <c r="C32" s="16" t="n">
        <v>99</v>
      </c>
      <c r="D32" s="16" t="n">
        <v>4</v>
      </c>
      <c r="E32" s="16" t="n">
        <v>3</v>
      </c>
      <c r="F32" t="inlineStr">
        <is>
          <t>99 = nunca acontece.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0" customWidth="1" min="1" max="1"/>
    <col width="8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>
      <c r="A1" s="4" t="inlineStr">
        <is>
          <t>CENÁRIO CONSERVADOR — valor esperado por trimestre</t>
        </is>
      </c>
    </row>
    <row r="2">
      <c r="A2" t="inlineStr">
        <is>
          <t>Amarelo = inscrições por trimestre (você escolhe). O resto é fórmula ligada à aba Premissas.</t>
        </is>
      </c>
    </row>
    <row r="4">
      <c r="A4" s="17" t="inlineStr">
        <is>
          <t>Item</t>
        </is>
      </c>
      <c r="B4" s="17" t="inlineStr">
        <is>
          <t>Unid.</t>
        </is>
      </c>
      <c r="C4" s="17" t="inlineStr">
        <is>
          <t>T4/26</t>
        </is>
      </c>
      <c r="D4" s="17" t="inlineStr">
        <is>
          <t>T1/27</t>
        </is>
      </c>
      <c r="E4" s="17" t="inlineStr">
        <is>
          <t>T2/27</t>
        </is>
      </c>
      <c r="F4" s="17" t="inlineStr">
        <is>
          <t>T3/27</t>
        </is>
      </c>
      <c r="G4" s="17" t="inlineStr">
        <is>
          <t>T4/27</t>
        </is>
      </c>
      <c r="H4" s="17" t="inlineStr">
        <is>
          <t>T1/28</t>
        </is>
      </c>
      <c r="I4" s="17" t="inlineStr">
        <is>
          <t>T2/28</t>
        </is>
      </c>
      <c r="J4" s="17" t="inlineStr">
        <is>
          <t>T3/28</t>
        </is>
      </c>
      <c r="K4" s="17" t="inlineStr">
        <is>
          <t>T4/28</t>
        </is>
      </c>
      <c r="L4" s="17" t="inlineStr">
        <is>
          <t>Total</t>
        </is>
      </c>
    </row>
    <row r="5">
      <c r="A5" t="inlineStr">
        <is>
          <t>Nº do trimestre</t>
        </is>
      </c>
      <c r="B5" t="inlineStr"/>
      <c r="C5" s="7" t="n">
        <v>1</v>
      </c>
      <c r="D5" s="7" t="n">
        <v>2</v>
      </c>
      <c r="E5" s="7" t="n">
        <v>3</v>
      </c>
      <c r="F5" s="7" t="n">
        <v>4</v>
      </c>
      <c r="G5" s="7" t="n">
        <v>5</v>
      </c>
      <c r="H5" s="7" t="n">
        <v>6</v>
      </c>
      <c r="I5" s="7" t="n">
        <v>7</v>
      </c>
      <c r="J5" s="7" t="n">
        <v>8</v>
      </c>
      <c r="K5" s="7" t="n">
        <v>9</v>
      </c>
      <c r="L5" s="7" t="n"/>
    </row>
    <row r="6">
      <c r="A6" s="18" t="inlineStr">
        <is>
          <t>ENTRADAS</t>
        </is>
      </c>
      <c r="B6" s="19" t="inlineStr"/>
      <c r="C6" s="20" t="n"/>
      <c r="D6" s="20" t="n"/>
      <c r="E6" s="20" t="n"/>
      <c r="F6" s="20" t="n"/>
      <c r="G6" s="20" t="n"/>
      <c r="H6" s="20" t="n"/>
      <c r="I6" s="20" t="n"/>
      <c r="J6" s="20" t="n"/>
      <c r="K6" s="20" t="n"/>
      <c r="L6" s="20" t="n"/>
    </row>
    <row r="7">
      <c r="A7" t="inlineStr">
        <is>
          <t>Concursos nacionais grandes inscritos</t>
        </is>
      </c>
      <c r="B7" t="inlineStr">
        <is>
          <t>nº</t>
        </is>
      </c>
      <c r="C7" s="21" t="n">
        <v>2</v>
      </c>
      <c r="D7" s="21" t="n">
        <v>0</v>
      </c>
      <c r="E7" s="21" t="n">
        <v>1</v>
      </c>
      <c r="F7" s="21" t="n">
        <v>0</v>
      </c>
      <c r="G7" s="21" t="n">
        <v>1</v>
      </c>
      <c r="H7" s="21" t="n">
        <v>0</v>
      </c>
      <c r="I7" s="21" t="n">
        <v>1</v>
      </c>
      <c r="J7" s="21" t="n">
        <v>0</v>
      </c>
      <c r="K7" s="21" t="n">
        <v>1</v>
      </c>
      <c r="L7" s="22">
        <f>SUM(C7:K7)</f>
        <v/>
      </c>
    </row>
    <row r="8">
      <c r="A8" t="inlineStr">
        <is>
          <t>Concursos internacionais inscritos</t>
        </is>
      </c>
      <c r="B8" t="inlineStr">
        <is>
          <t>nº</t>
        </is>
      </c>
      <c r="C8" s="21" t="n">
        <v>0</v>
      </c>
      <c r="D8" s="21" t="n">
        <v>1</v>
      </c>
      <c r="E8" s="21" t="n">
        <v>1</v>
      </c>
      <c r="F8" s="21" t="n">
        <v>1</v>
      </c>
      <c r="G8" s="21" t="n">
        <v>1</v>
      </c>
      <c r="H8" s="21" t="n">
        <v>0</v>
      </c>
      <c r="I8" s="21" t="n">
        <v>1</v>
      </c>
      <c r="J8" s="21" t="n">
        <v>1</v>
      </c>
      <c r="K8" s="21" t="n">
        <v>0</v>
      </c>
      <c r="L8" s="22">
        <f>SUM(C8:K8)</f>
        <v/>
      </c>
    </row>
    <row r="9">
      <c r="A9" s="18" t="inlineStr">
        <is>
          <t>RESULTADOS (saem 1 trimestre após a inscrição)</t>
        </is>
      </c>
      <c r="B9" s="19" t="inlineStr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  <c r="L9" s="20" t="n"/>
    </row>
    <row r="10">
      <c r="A10" t="inlineStr">
        <is>
          <t>Resultados nacionais</t>
        </is>
      </c>
      <c r="B10" t="inlineStr">
        <is>
          <t>nº</t>
        </is>
      </c>
      <c r="C10" s="7" t="n">
        <v>0</v>
      </c>
      <c r="D10" s="7">
        <f>C7</f>
        <v/>
      </c>
      <c r="E10" s="7">
        <f>D7</f>
        <v/>
      </c>
      <c r="F10" s="7">
        <f>E7</f>
        <v/>
      </c>
      <c r="G10" s="7">
        <f>F7</f>
        <v/>
      </c>
      <c r="H10" s="7">
        <f>G7</f>
        <v/>
      </c>
      <c r="I10" s="7">
        <f>H7</f>
        <v/>
      </c>
      <c r="J10" s="7">
        <f>I7</f>
        <v/>
      </c>
      <c r="K10" s="7">
        <f>J7</f>
        <v/>
      </c>
      <c r="L10" s="22">
        <f>SUM(C10:K10)</f>
        <v/>
      </c>
    </row>
    <row r="11">
      <c r="A11" t="inlineStr">
        <is>
          <t>Resultados internacionais</t>
        </is>
      </c>
      <c r="B11" t="inlineStr">
        <is>
          <t>nº</t>
        </is>
      </c>
      <c r="C11" s="7" t="n">
        <v>0</v>
      </c>
      <c r="D11" s="7">
        <f>C8</f>
        <v/>
      </c>
      <c r="E11" s="7">
        <f>D8</f>
        <v/>
      </c>
      <c r="F11" s="7">
        <f>E8</f>
        <v/>
      </c>
      <c r="G11" s="7">
        <f>F8</f>
        <v/>
      </c>
      <c r="H11" s="7">
        <f>G8</f>
        <v/>
      </c>
      <c r="I11" s="7">
        <f>H8</f>
        <v/>
      </c>
      <c r="J11" s="7">
        <f>I8</f>
        <v/>
      </c>
      <c r="K11" s="7">
        <f>J8</f>
        <v/>
      </c>
      <c r="L11" s="22">
        <f>SUM(C11:K11)</f>
        <v/>
      </c>
    </row>
    <row r="12">
      <c r="A12" t="inlineStr">
        <is>
          <t>Prêmios esperados — nacionais</t>
        </is>
      </c>
      <c r="B12" t="inlineStr">
        <is>
          <t>R$</t>
        </is>
      </c>
      <c r="C12" s="8">
        <f>C10*(Premissas!$C$6*Premissas!$C$10+Premissas!$C$7*Premissas!$C$11)</f>
        <v/>
      </c>
      <c r="D12" s="8">
        <f>D10*(Premissas!$C$6*Premissas!$C$10+Premissas!$C$7*Premissas!$C$11)</f>
        <v/>
      </c>
      <c r="E12" s="8">
        <f>E10*(Premissas!$C$6*Premissas!$C$10+Premissas!$C$7*Premissas!$C$11)</f>
        <v/>
      </c>
      <c r="F12" s="8">
        <f>F10*(Premissas!$C$6*Premissas!$C$10+Premissas!$C$7*Premissas!$C$11)</f>
        <v/>
      </c>
      <c r="G12" s="8">
        <f>G10*(Premissas!$C$6*Premissas!$C$10+Premissas!$C$7*Premissas!$C$11)</f>
        <v/>
      </c>
      <c r="H12" s="8">
        <f>H10*(Premissas!$C$6*Premissas!$C$10+Premissas!$C$7*Premissas!$C$11)</f>
        <v/>
      </c>
      <c r="I12" s="8">
        <f>I10*(Premissas!$C$6*Premissas!$C$10+Premissas!$C$7*Premissas!$C$11)</f>
        <v/>
      </c>
      <c r="J12" s="8">
        <f>J10*(Premissas!$C$6*Premissas!$C$10+Premissas!$C$7*Premissas!$C$11)</f>
        <v/>
      </c>
      <c r="K12" s="8">
        <f>K10*(Premissas!$C$6*Premissas!$C$10+Premissas!$C$7*Premissas!$C$11)</f>
        <v/>
      </c>
      <c r="L12" s="23">
        <f>SUM(C12:K12)</f>
        <v/>
      </c>
    </row>
    <row r="13">
      <c r="A13" t="inlineStr">
        <is>
          <t>Prêmios esperados — internacionais</t>
        </is>
      </c>
      <c r="B13" t="inlineStr">
        <is>
          <t>R$</t>
        </is>
      </c>
      <c r="C13" s="8">
        <f>C11*(Premissas!$C$8*Premissas!$C$12+Premissas!$C$9*Premissas!$C$13)*Premissas!$C$5</f>
        <v/>
      </c>
      <c r="D13" s="8">
        <f>D11*(Premissas!$C$8*Premissas!$C$12+Premissas!$C$9*Premissas!$C$13)*Premissas!$C$5</f>
        <v/>
      </c>
      <c r="E13" s="8">
        <f>E11*(Premissas!$C$8*Premissas!$C$12+Premissas!$C$9*Premissas!$C$13)*Premissas!$C$5</f>
        <v/>
      </c>
      <c r="F13" s="8">
        <f>F11*(Premissas!$C$8*Premissas!$C$12+Premissas!$C$9*Premissas!$C$13)*Premissas!$C$5</f>
        <v/>
      </c>
      <c r="G13" s="8">
        <f>G11*(Premissas!$C$8*Premissas!$C$12+Premissas!$C$9*Premissas!$C$13)*Premissas!$C$5</f>
        <v/>
      </c>
      <c r="H13" s="8">
        <f>H11*(Premissas!$C$8*Premissas!$C$12+Premissas!$C$9*Premissas!$C$13)*Premissas!$C$5</f>
        <v/>
      </c>
      <c r="I13" s="8">
        <f>I11*(Premissas!$C$8*Premissas!$C$12+Premissas!$C$9*Premissas!$C$13)*Premissas!$C$5</f>
        <v/>
      </c>
      <c r="J13" s="8">
        <f>J11*(Premissas!$C$8*Premissas!$C$12+Premissas!$C$9*Premissas!$C$13)*Premissas!$C$5</f>
        <v/>
      </c>
      <c r="K13" s="8">
        <f>K11*(Premissas!$C$8*Premissas!$C$12+Premissas!$C$9*Premissas!$C$13)*Premissas!$C$5</f>
        <v/>
      </c>
      <c r="L13" s="23">
        <f>SUM(C13:K13)</f>
        <v/>
      </c>
    </row>
    <row r="14">
      <c r="A14" t="inlineStr">
        <is>
          <t>Contratos esperados ganhos (nº)</t>
        </is>
      </c>
      <c r="B14" t="inlineStr">
        <is>
          <t>nº</t>
        </is>
      </c>
      <c r="C14" s="9">
        <f>C10*Premissas!$C$6*Premissas!$C$14</f>
        <v/>
      </c>
      <c r="D14" s="9">
        <f>D10*Premissas!$C$6*Premissas!$C$14</f>
        <v/>
      </c>
      <c r="E14" s="9">
        <f>E10*Premissas!$C$6*Premissas!$C$14</f>
        <v/>
      </c>
      <c r="F14" s="9">
        <f>F10*Premissas!$C$6*Premissas!$C$14</f>
        <v/>
      </c>
      <c r="G14" s="9">
        <f>G10*Premissas!$C$6*Premissas!$C$14</f>
        <v/>
      </c>
      <c r="H14" s="9">
        <f>H10*Premissas!$C$6*Premissas!$C$14</f>
        <v/>
      </c>
      <c r="I14" s="9">
        <f>I10*Premissas!$C$6*Premissas!$C$14</f>
        <v/>
      </c>
      <c r="J14" s="9">
        <f>J10*Premissas!$C$6*Premissas!$C$14</f>
        <v/>
      </c>
      <c r="K14" s="9">
        <f>K10*Premissas!$C$6*Premissas!$C$14</f>
        <v/>
      </c>
      <c r="L14" s="24">
        <f>SUM(C14:K14)</f>
        <v/>
      </c>
    </row>
    <row r="15">
      <c r="A15" s="18" t="inlineStr">
        <is>
          <t>CONTRATOS (pagam 3 trimestres após o resultado, em 4 parcelas)</t>
        </is>
      </c>
      <c r="B15" s="19" t="inlineStr"/>
      <c r="C15" s="20" t="n"/>
      <c r="D15" s="20" t="n"/>
      <c r="E15" s="20" t="n"/>
      <c r="F15" s="20" t="n"/>
      <c r="G15" s="20" t="n"/>
      <c r="H15" s="20" t="n"/>
      <c r="I15" s="20" t="n"/>
      <c r="J15" s="20" t="n"/>
      <c r="K15" s="20" t="n"/>
      <c r="L15" s="20" t="n"/>
    </row>
    <row r="16">
      <c r="A16" t="inlineStr">
        <is>
          <t>Honorário bruto recebido pelo escritório</t>
        </is>
      </c>
      <c r="B16" t="inlineStr">
        <is>
          <t>R$</t>
        </is>
      </c>
      <c r="C16" s="8">
        <f>Premissas!$C$15/4*0</f>
        <v/>
      </c>
      <c r="D16" s="8">
        <f>Premissas!$C$15/4*0</f>
        <v/>
      </c>
      <c r="E16" s="8">
        <f>Premissas!$C$15/4*0</f>
        <v/>
      </c>
      <c r="F16" s="8">
        <f>Premissas!$C$15/4*SUM(C14:C14)</f>
        <v/>
      </c>
      <c r="G16" s="8">
        <f>Premissas!$C$15/4*SUM(C14:D14)</f>
        <v/>
      </c>
      <c r="H16" s="8">
        <f>Premissas!$C$15/4*SUM(C14:E14)</f>
        <v/>
      </c>
      <c r="I16" s="8">
        <f>Premissas!$C$15/4*SUM(C14:F14)</f>
        <v/>
      </c>
      <c r="J16" s="8">
        <f>Premissas!$C$15/4*SUM(D14:G14)</f>
        <v/>
      </c>
      <c r="K16" s="8">
        <f>Premissas!$C$15/4*SUM(E14:H14)</f>
        <v/>
      </c>
      <c r="L16" s="23">
        <f>SUM(C16:K16)</f>
        <v/>
      </c>
    </row>
    <row r="17">
      <c r="A17" t="inlineStr">
        <is>
          <t>Sua parte, antes do imposto (margem × divisão)</t>
        </is>
      </c>
      <c r="B17" t="inlineStr">
        <is>
          <t>R$</t>
        </is>
      </c>
      <c r="C17" s="8">
        <f>C16*Premissas!$C$16*Premissas!$C$17</f>
        <v/>
      </c>
      <c r="D17" s="8">
        <f>D16*Premissas!$C$16*Premissas!$C$17</f>
        <v/>
      </c>
      <c r="E17" s="8">
        <f>E16*Premissas!$C$16*Premissas!$C$17</f>
        <v/>
      </c>
      <c r="F17" s="8">
        <f>F16*Premissas!$C$16*Premissas!$C$17</f>
        <v/>
      </c>
      <c r="G17" s="8">
        <f>G16*Premissas!$C$16*Premissas!$C$17</f>
        <v/>
      </c>
      <c r="H17" s="8">
        <f>H16*Premissas!$C$16*Premissas!$C$17</f>
        <v/>
      </c>
      <c r="I17" s="8">
        <f>I16*Premissas!$C$16*Premissas!$C$17</f>
        <v/>
      </c>
      <c r="J17" s="8">
        <f>J16*Premissas!$C$16*Premissas!$C$17</f>
        <v/>
      </c>
      <c r="K17" s="8">
        <f>K16*Premissas!$C$16*Premissas!$C$17</f>
        <v/>
      </c>
      <c r="L17" s="23">
        <f>SUM(C17:K17)</f>
        <v/>
      </c>
    </row>
    <row r="18">
      <c r="A18" t="inlineStr">
        <is>
          <t>Horas de execução dos contratos</t>
        </is>
      </c>
      <c r="B18" t="inlineStr">
        <is>
          <t>h</t>
        </is>
      </c>
      <c r="C18" s="7">
        <f>Premissas!$C$22/4*0</f>
        <v/>
      </c>
      <c r="D18" s="7">
        <f>Premissas!$C$22/4*0</f>
        <v/>
      </c>
      <c r="E18" s="7">
        <f>Premissas!$C$22/4*0</f>
        <v/>
      </c>
      <c r="F18" s="7">
        <f>Premissas!$C$22/4*SUM(C14:C14)</f>
        <v/>
      </c>
      <c r="G18" s="7">
        <f>Premissas!$C$22/4*SUM(C14:D14)</f>
        <v/>
      </c>
      <c r="H18" s="7">
        <f>Premissas!$C$22/4*SUM(C14:E14)</f>
        <v/>
      </c>
      <c r="I18" s="7">
        <f>Premissas!$C$22/4*SUM(C14:F14)</f>
        <v/>
      </c>
      <c r="J18" s="7">
        <f>Premissas!$C$22/4*SUM(D14:G14)</f>
        <v/>
      </c>
      <c r="K18" s="7">
        <f>Premissas!$C$22/4*SUM(E14:H14)</f>
        <v/>
      </c>
      <c r="L18" s="22">
        <f>SUM(C18:K18)</f>
        <v/>
      </c>
    </row>
    <row r="19">
      <c r="A19" s="18" t="inlineStr">
        <is>
          <t>HORAS</t>
        </is>
      </c>
      <c r="B19" s="19" t="inlineStr"/>
      <c r="C19" s="20" t="n"/>
      <c r="D19" s="20" t="n"/>
      <c r="E19" s="20" t="n"/>
      <c r="F19" s="20" t="n"/>
      <c r="G19" s="20" t="n"/>
      <c r="H19" s="20" t="n"/>
      <c r="I19" s="20" t="n"/>
      <c r="J19" s="20" t="n"/>
      <c r="K19" s="20" t="n"/>
      <c r="L19" s="20" t="n"/>
    </row>
    <row r="20">
      <c r="A20" t="inlineStr">
        <is>
          <t>Horas de concurso</t>
        </is>
      </c>
      <c r="B20" t="inlineStr">
        <is>
          <t>h</t>
        </is>
      </c>
      <c r="C20" s="7">
        <f>C7*Premissas!$C$20+C8*Premissas!$C$21</f>
        <v/>
      </c>
      <c r="D20" s="7">
        <f>D7*Premissas!$C$20+D8*Premissas!$C$21</f>
        <v/>
      </c>
      <c r="E20" s="7">
        <f>E7*Premissas!$C$20+E8*Premissas!$C$21</f>
        <v/>
      </c>
      <c r="F20" s="7">
        <f>F7*Premissas!$C$20+F8*Premissas!$C$21</f>
        <v/>
      </c>
      <c r="G20" s="7">
        <f>G7*Premissas!$C$20+G8*Premissas!$C$21</f>
        <v/>
      </c>
      <c r="H20" s="7">
        <f>H7*Premissas!$C$20+H8*Premissas!$C$21</f>
        <v/>
      </c>
      <c r="I20" s="7">
        <f>I7*Premissas!$C$20+I8*Premissas!$C$21</f>
        <v/>
      </c>
      <c r="J20" s="7">
        <f>J7*Premissas!$C$20+J8*Premissas!$C$21</f>
        <v/>
      </c>
      <c r="K20" s="7">
        <f>K7*Premissas!$C$20+K8*Premissas!$C$21</f>
        <v/>
      </c>
      <c r="L20" s="22">
        <f>SUM(C20:K20)</f>
        <v/>
      </c>
    </row>
    <row r="21">
      <c r="A21" t="inlineStr">
        <is>
          <t>Horas totais (concurso + contratos)</t>
        </is>
      </c>
      <c r="B21" t="inlineStr">
        <is>
          <t>h</t>
        </is>
      </c>
      <c r="C21" s="7">
        <f>C20+C18</f>
        <v/>
      </c>
      <c r="D21" s="7">
        <f>D20+D18</f>
        <v/>
      </c>
      <c r="E21" s="7">
        <f>E20+E18</f>
        <v/>
      </c>
      <c r="F21" s="7">
        <f>F20+F18</f>
        <v/>
      </c>
      <c r="G21" s="7">
        <f>G20+G18</f>
        <v/>
      </c>
      <c r="H21" s="7">
        <f>H20+H18</f>
        <v/>
      </c>
      <c r="I21" s="7">
        <f>I20+I18</f>
        <v/>
      </c>
      <c r="J21" s="7">
        <f>J20+J18</f>
        <v/>
      </c>
      <c r="K21" s="7">
        <f>K20+K18</f>
        <v/>
      </c>
      <c r="L21" s="7" t="n"/>
    </row>
    <row r="22">
      <c r="A22" t="inlineStr">
        <is>
          <t>Teto de horas</t>
        </is>
      </c>
      <c r="B22" t="inlineStr">
        <is>
          <t>h</t>
        </is>
      </c>
      <c r="C22" s="7">
        <f>Premissas!$C$23</f>
        <v/>
      </c>
      <c r="D22" s="7">
        <f>Premissas!$C$23</f>
        <v/>
      </c>
      <c r="E22" s="7">
        <f>Premissas!$C$23</f>
        <v/>
      </c>
      <c r="F22" s="7">
        <f>Premissas!$C$23</f>
        <v/>
      </c>
      <c r="G22" s="7">
        <f>Premissas!$C$23</f>
        <v/>
      </c>
      <c r="H22" s="7">
        <f>Premissas!$C$23</f>
        <v/>
      </c>
      <c r="I22" s="7">
        <f>Premissas!$C$23</f>
        <v/>
      </c>
      <c r="J22" s="7">
        <f>Premissas!$C$23</f>
        <v/>
      </c>
      <c r="K22" s="7">
        <f>Premissas!$C$23</f>
        <v/>
      </c>
      <c r="L22" s="7" t="n"/>
    </row>
    <row r="23">
      <c r="A23" t="inlineStr">
        <is>
          <t>Capacidade</t>
        </is>
      </c>
      <c r="B23" t="inlineStr"/>
      <c r="C23" s="25">
        <f>IF(C21&gt;C22,"ESTOURA","ok")</f>
        <v/>
      </c>
      <c r="D23" s="25">
        <f>IF(D21&gt;D22,"ESTOURA","ok")</f>
        <v/>
      </c>
      <c r="E23" s="25">
        <f>IF(E21&gt;E22,"ESTOURA","ok")</f>
        <v/>
      </c>
      <c r="F23" s="25">
        <f>IF(F21&gt;F22,"ESTOURA","ok")</f>
        <v/>
      </c>
      <c r="G23" s="25">
        <f>IF(G21&gt;G22,"ESTOURA","ok")</f>
        <v/>
      </c>
      <c r="H23" s="25">
        <f>IF(H21&gt;H22,"ESTOURA","ok")</f>
        <v/>
      </c>
      <c r="I23" s="25">
        <f>IF(I21&gt;I22,"ESTOURA","ok")</f>
        <v/>
      </c>
      <c r="J23" s="25">
        <f>IF(J21&gt;J22,"ESTOURA","ok")</f>
        <v/>
      </c>
      <c r="K23" s="25">
        <f>IF(K21&gt;K22,"ESTOURA","ok")</f>
        <v/>
      </c>
      <c r="L23" s="25" t="n"/>
    </row>
    <row r="24">
      <c r="A24" s="18" t="inlineStr">
        <is>
          <t>CAIXA DOS CONCURSOS</t>
        </is>
      </c>
      <c r="B24" s="19" t="inlineStr"/>
      <c r="C24" s="20" t="n"/>
      <c r="D24" s="20" t="n"/>
      <c r="E24" s="20" t="n"/>
      <c r="F24" s="20" t="n"/>
      <c r="G24" s="20" t="n"/>
      <c r="H24" s="20" t="n"/>
      <c r="I24" s="20" t="n"/>
      <c r="J24" s="20" t="n"/>
      <c r="K24" s="20" t="n"/>
      <c r="L24" s="20" t="n"/>
    </row>
    <row r="25">
      <c r="A25" t="inlineStr">
        <is>
          <t>+ Prêmios</t>
        </is>
      </c>
      <c r="B25" t="inlineStr">
        <is>
          <t>R$</t>
        </is>
      </c>
      <c r="C25" s="8">
        <f>C12+C13</f>
        <v/>
      </c>
      <c r="D25" s="8">
        <f>D12+D13</f>
        <v/>
      </c>
      <c r="E25" s="8">
        <f>E12+E13</f>
        <v/>
      </c>
      <c r="F25" s="8">
        <f>F12+F13</f>
        <v/>
      </c>
      <c r="G25" s="8">
        <f>G12+G13</f>
        <v/>
      </c>
      <c r="H25" s="8">
        <f>H12+H13</f>
        <v/>
      </c>
      <c r="I25" s="8">
        <f>I12+I13</f>
        <v/>
      </c>
      <c r="J25" s="8">
        <f>J12+J13</f>
        <v/>
      </c>
      <c r="K25" s="8">
        <f>K12+K13</f>
        <v/>
      </c>
      <c r="L25" s="23">
        <f>SUM(C25:K25)</f>
        <v/>
      </c>
    </row>
    <row r="26">
      <c r="A26" t="inlineStr">
        <is>
          <t>+ Contratos (sua parte)</t>
        </is>
      </c>
      <c r="B26" t="inlineStr">
        <is>
          <t>R$</t>
        </is>
      </c>
      <c r="C26" s="8">
        <f>C17</f>
        <v/>
      </c>
      <c r="D26" s="8">
        <f>D17</f>
        <v/>
      </c>
      <c r="E26" s="8">
        <f>E17</f>
        <v/>
      </c>
      <c r="F26" s="8">
        <f>F17</f>
        <v/>
      </c>
      <c r="G26" s="8">
        <f>G17</f>
        <v/>
      </c>
      <c r="H26" s="8">
        <f>H17</f>
        <v/>
      </c>
      <c r="I26" s="8">
        <f>I17</f>
        <v/>
      </c>
      <c r="J26" s="8">
        <f>J17</f>
        <v/>
      </c>
      <c r="K26" s="8">
        <f>K17</f>
        <v/>
      </c>
      <c r="L26" s="23">
        <f>SUM(C26:K26)</f>
        <v/>
      </c>
    </row>
    <row r="27">
      <c r="A27" t="inlineStr">
        <is>
          <t>− Impostos</t>
        </is>
      </c>
      <c r="B27" t="inlineStr">
        <is>
          <t>R$</t>
        </is>
      </c>
      <c r="C27" s="8">
        <f>-(C25*Premissas!$C$18+C26*Premissas!$C$19)</f>
        <v/>
      </c>
      <c r="D27" s="8">
        <f>-(D25*Premissas!$C$18+D26*Premissas!$C$19)</f>
        <v/>
      </c>
      <c r="E27" s="8">
        <f>-(E25*Premissas!$C$18+E26*Premissas!$C$19)</f>
        <v/>
      </c>
      <c r="F27" s="8">
        <f>-(F25*Premissas!$C$18+F26*Premissas!$C$19)</f>
        <v/>
      </c>
      <c r="G27" s="8">
        <f>-(G25*Premissas!$C$18+G26*Premissas!$C$19)</f>
        <v/>
      </c>
      <c r="H27" s="8">
        <f>-(H25*Premissas!$C$18+H26*Premissas!$C$19)</f>
        <v/>
      </c>
      <c r="I27" s="8">
        <f>-(I25*Premissas!$C$18+I26*Premissas!$C$19)</f>
        <v/>
      </c>
      <c r="J27" s="8">
        <f>-(J25*Premissas!$C$18+J26*Premissas!$C$19)</f>
        <v/>
      </c>
      <c r="K27" s="8">
        <f>-(K25*Premissas!$C$18+K26*Premissas!$C$19)</f>
        <v/>
      </c>
      <c r="L27" s="23">
        <f>SUM(C27:K27)</f>
        <v/>
      </c>
    </row>
    <row r="28">
      <c r="A28" t="inlineStr">
        <is>
          <t>− Ferramentas</t>
        </is>
      </c>
      <c r="B28" t="inlineStr">
        <is>
          <t>R$</t>
        </is>
      </c>
      <c r="C28" s="8">
        <f>-3*Premissas!$C$25*Premissas!$C$26</f>
        <v/>
      </c>
      <c r="D28" s="8">
        <f>-3*Premissas!$C$25*Premissas!$C$26</f>
        <v/>
      </c>
      <c r="E28" s="8">
        <f>-3*Premissas!$C$25*Premissas!$C$26</f>
        <v/>
      </c>
      <c r="F28" s="8">
        <f>-3*Premissas!$C$25*Premissas!$C$26</f>
        <v/>
      </c>
      <c r="G28" s="8">
        <f>-3*Premissas!$C$25*Premissas!$C$26</f>
        <v/>
      </c>
      <c r="H28" s="8">
        <f>-3*Premissas!$C$25*Premissas!$C$26</f>
        <v/>
      </c>
      <c r="I28" s="8">
        <f>-3*Premissas!$C$25*Premissas!$C$26</f>
        <v/>
      </c>
      <c r="J28" s="8">
        <f>-3*Premissas!$C$25*Premissas!$C$26</f>
        <v/>
      </c>
      <c r="K28" s="8">
        <f>-3*Premissas!$C$25*Premissas!$C$26</f>
        <v/>
      </c>
      <c r="L28" s="23">
        <f>SUM(C28:K28)</f>
        <v/>
      </c>
    </row>
    <row r="29">
      <c r="A29" t="inlineStr">
        <is>
          <t>− Inscrições internacionais</t>
        </is>
      </c>
      <c r="B29" t="inlineStr">
        <is>
          <t>R$</t>
        </is>
      </c>
      <c r="C29" s="8">
        <f>-C8*Premissas!$C$27</f>
        <v/>
      </c>
      <c r="D29" s="8">
        <f>-D8*Premissas!$C$27</f>
        <v/>
      </c>
      <c r="E29" s="8">
        <f>-E8*Premissas!$C$27</f>
        <v/>
      </c>
      <c r="F29" s="8">
        <f>-F8*Premissas!$C$27</f>
        <v/>
      </c>
      <c r="G29" s="8">
        <f>-G8*Premissas!$C$27</f>
        <v/>
      </c>
      <c r="H29" s="8">
        <f>-H8*Premissas!$C$27</f>
        <v/>
      </c>
      <c r="I29" s="8">
        <f>-I8*Premissas!$C$27</f>
        <v/>
      </c>
      <c r="J29" s="8">
        <f>-J8*Premissas!$C$27</f>
        <v/>
      </c>
      <c r="K29" s="8">
        <f>-K8*Premissas!$C$27</f>
        <v/>
      </c>
      <c r="L29" s="23">
        <f>SUM(C29:K29)</f>
        <v/>
      </c>
    </row>
    <row r="30">
      <c r="A30" t="inlineStr">
        <is>
          <t>− CNPJ e contabilidade</t>
        </is>
      </c>
      <c r="B30" t="inlineStr">
        <is>
          <t>R$</t>
        </is>
      </c>
      <c r="C30" s="8" t="n">
        <v>0</v>
      </c>
      <c r="D30" s="8">
        <f>-3*Premissas!$C$28</f>
        <v/>
      </c>
      <c r="E30" s="8">
        <f>-3*Premissas!$C$28</f>
        <v/>
      </c>
      <c r="F30" s="8">
        <f>-3*Premissas!$C$28</f>
        <v/>
      </c>
      <c r="G30" s="8">
        <f>-3*Premissas!$C$28</f>
        <v/>
      </c>
      <c r="H30" s="8">
        <f>-3*Premissas!$C$28</f>
        <v/>
      </c>
      <c r="I30" s="8">
        <f>-3*Premissas!$C$28</f>
        <v/>
      </c>
      <c r="J30" s="8">
        <f>-3*Premissas!$C$28</f>
        <v/>
      </c>
      <c r="K30" s="8">
        <f>-3*Premissas!$C$28</f>
        <v/>
      </c>
      <c r="L30" s="23">
        <f>SUM(C30:K30)</f>
        <v/>
      </c>
    </row>
    <row r="31">
      <c r="A31" s="10" t="inlineStr">
        <is>
          <t>Caixa líquido dos concursos (soma)</t>
        </is>
      </c>
      <c r="B31" s="10" t="inlineStr">
        <is>
          <t>R$</t>
        </is>
      </c>
      <c r="C31" s="11">
        <f>SUM(C25:C30)</f>
        <v/>
      </c>
      <c r="D31" s="11">
        <f>SUM(D25:D30)</f>
        <v/>
      </c>
      <c r="E31" s="11">
        <f>SUM(E25:E30)</f>
        <v/>
      </c>
      <c r="F31" s="11">
        <f>SUM(F25:F30)</f>
        <v/>
      </c>
      <c r="G31" s="11">
        <f>SUM(G25:G30)</f>
        <v/>
      </c>
      <c r="H31" s="11">
        <f>SUM(H25:H30)</f>
        <v/>
      </c>
      <c r="I31" s="11">
        <f>SUM(I25:I30)</f>
        <v/>
      </c>
      <c r="J31" s="11">
        <f>SUM(J25:J30)</f>
        <v/>
      </c>
      <c r="K31" s="11">
        <f>SUM(K25:K30)</f>
        <v/>
      </c>
      <c r="L31" s="23">
        <f>SUM(C31:K31)</f>
        <v/>
      </c>
    </row>
    <row r="32">
      <c r="A32" t="inlineStr">
        <is>
          <t>− Valor das horas de concurso (custo de oportunidade)</t>
        </is>
      </c>
      <c r="B32" t="inlineStr">
        <is>
          <t>R$</t>
        </is>
      </c>
      <c r="C32" s="8">
        <f>-C20*Premissas!$C$24</f>
        <v/>
      </c>
      <c r="D32" s="8">
        <f>-D20*Premissas!$C$24</f>
        <v/>
      </c>
      <c r="E32" s="8">
        <f>-E20*Premissas!$C$24</f>
        <v/>
      </c>
      <c r="F32" s="8">
        <f>-F20*Premissas!$C$24</f>
        <v/>
      </c>
      <c r="G32" s="8">
        <f>-G20*Premissas!$C$24</f>
        <v/>
      </c>
      <c r="H32" s="8">
        <f>-H20*Premissas!$C$24</f>
        <v/>
      </c>
      <c r="I32" s="8">
        <f>-I20*Premissas!$C$24</f>
        <v/>
      </c>
      <c r="J32" s="8">
        <f>-J20*Premissas!$C$24</f>
        <v/>
      </c>
      <c r="K32" s="8">
        <f>-K20*Premissas!$C$24</f>
        <v/>
      </c>
      <c r="L32" s="23">
        <f>SUM(C32:K32)</f>
        <v/>
      </c>
    </row>
    <row r="33">
      <c r="A33" s="10" t="inlineStr">
        <is>
          <t>Líquido depois das horas (soma)</t>
        </is>
      </c>
      <c r="B33" s="10" t="inlineStr">
        <is>
          <t>R$</t>
        </is>
      </c>
      <c r="C33" s="11">
        <f>C31+C32</f>
        <v/>
      </c>
      <c r="D33" s="11">
        <f>D31+D32</f>
        <v/>
      </c>
      <c r="E33" s="11">
        <f>E31+E32</f>
        <v/>
      </c>
      <c r="F33" s="11">
        <f>F31+F32</f>
        <v/>
      </c>
      <c r="G33" s="11">
        <f>G31+G32</f>
        <v/>
      </c>
      <c r="H33" s="11">
        <f>H31+H32</f>
        <v/>
      </c>
      <c r="I33" s="11">
        <f>I31+I32</f>
        <v/>
      </c>
      <c r="J33" s="11">
        <f>J31+J32</f>
        <v/>
      </c>
      <c r="K33" s="11">
        <f>K31+K32</f>
        <v/>
      </c>
      <c r="L33" s="23">
        <f>SUM(C33:K33)</f>
        <v/>
      </c>
    </row>
    <row r="34">
      <c r="A34" s="18" t="inlineStr">
        <is>
          <t>RENDA TOTAL</t>
        </is>
      </c>
      <c r="B34" s="19" t="inlineStr"/>
      <c r="C34" s="20" t="n"/>
      <c r="D34" s="20" t="n"/>
      <c r="E34" s="20" t="n"/>
      <c r="F34" s="20" t="n"/>
      <c r="G34" s="20" t="n"/>
      <c r="H34" s="20" t="n"/>
      <c r="I34" s="20" t="n"/>
      <c r="J34" s="20" t="n"/>
      <c r="K34" s="20" t="n"/>
      <c r="L34" s="20" t="n"/>
    </row>
    <row r="35">
      <c r="A35" t="inlineStr">
        <is>
          <t>Perna 2 (PSCIP/PICIP, Revit, casa)</t>
        </is>
      </c>
      <c r="B35" t="inlineStr">
        <is>
          <t>R$</t>
        </is>
      </c>
      <c r="C35" s="8">
        <f>3*Premissas!$C$29*(1+Premissas!$C$30)^((C5-1)/4)*(1+IF(C5&gt;=Premissas!$C$32,Premissas!$C$31,0))</f>
        <v/>
      </c>
      <c r="D35" s="8">
        <f>3*Premissas!$C$29*(1+Premissas!$C$30)^((D5-1)/4)*(1+IF(D5&gt;=Premissas!$C$32,Premissas!$C$31,0))</f>
        <v/>
      </c>
      <c r="E35" s="8">
        <f>3*Premissas!$C$29*(1+Premissas!$C$30)^((E5-1)/4)*(1+IF(E5&gt;=Premissas!$C$32,Premissas!$C$31,0))</f>
        <v/>
      </c>
      <c r="F35" s="8">
        <f>3*Premissas!$C$29*(1+Premissas!$C$30)^((F5-1)/4)*(1+IF(F5&gt;=Premissas!$C$32,Premissas!$C$31,0))</f>
        <v/>
      </c>
      <c r="G35" s="8">
        <f>3*Premissas!$C$29*(1+Premissas!$C$30)^((G5-1)/4)*(1+IF(G5&gt;=Premissas!$C$32,Premissas!$C$31,0))</f>
        <v/>
      </c>
      <c r="H35" s="8">
        <f>3*Premissas!$C$29*(1+Premissas!$C$30)^((H5-1)/4)*(1+IF(H5&gt;=Premissas!$C$32,Premissas!$C$31,0))</f>
        <v/>
      </c>
      <c r="I35" s="8">
        <f>3*Premissas!$C$29*(1+Premissas!$C$30)^((I5-1)/4)*(1+IF(I5&gt;=Premissas!$C$32,Premissas!$C$31,0))</f>
        <v/>
      </c>
      <c r="J35" s="8">
        <f>3*Premissas!$C$29*(1+Premissas!$C$30)^((J5-1)/4)*(1+IF(J5&gt;=Premissas!$C$32,Premissas!$C$31,0))</f>
        <v/>
      </c>
      <c r="K35" s="8">
        <f>3*Premissas!$C$29*(1+Premissas!$C$30)^((K5-1)/4)*(1+IF(K5&gt;=Premissas!$C$32,Premissas!$C$31,0))</f>
        <v/>
      </c>
      <c r="L35" s="23">
        <f>SUM(C35:K35)</f>
        <v/>
      </c>
    </row>
    <row r="36">
      <c r="A36" s="10" t="inlineStr">
        <is>
          <t>Renda total do trimestre (caixa concursos + perna 2)</t>
        </is>
      </c>
      <c r="B36" s="10" t="inlineStr">
        <is>
          <t>R$</t>
        </is>
      </c>
      <c r="C36" s="11">
        <f>C31+C35</f>
        <v/>
      </c>
      <c r="D36" s="11">
        <f>D31+D35</f>
        <v/>
      </c>
      <c r="E36" s="11">
        <f>E31+E35</f>
        <v/>
      </c>
      <c r="F36" s="11">
        <f>F31+F35</f>
        <v/>
      </c>
      <c r="G36" s="11">
        <f>G31+G35</f>
        <v/>
      </c>
      <c r="H36" s="11">
        <f>H31+H35</f>
        <v/>
      </c>
      <c r="I36" s="11">
        <f>I31+I35</f>
        <v/>
      </c>
      <c r="J36" s="11">
        <f>J31+J35</f>
        <v/>
      </c>
      <c r="K36" s="11">
        <f>K31+K35</f>
        <v/>
      </c>
      <c r="L36" s="23">
        <f>SUM(C36:K36)</f>
        <v/>
      </c>
    </row>
    <row r="37">
      <c r="A37" t="inlineStr">
        <is>
          <t>Renda mensal média no trimestre</t>
        </is>
      </c>
      <c r="B37" t="inlineStr">
        <is>
          <t>R$/mês</t>
        </is>
      </c>
      <c r="C37" s="8">
        <f>C36/3</f>
        <v/>
      </c>
      <c r="D37" s="8">
        <f>D36/3</f>
        <v/>
      </c>
      <c r="E37" s="8">
        <f>E36/3</f>
        <v/>
      </c>
      <c r="F37" s="8">
        <f>F36/3</f>
        <v/>
      </c>
      <c r="G37" s="8">
        <f>G36/3</f>
        <v/>
      </c>
      <c r="H37" s="8">
        <f>H36/3</f>
        <v/>
      </c>
      <c r="I37" s="8">
        <f>I36/3</f>
        <v/>
      </c>
      <c r="J37" s="8">
        <f>J36/3</f>
        <v/>
      </c>
      <c r="K37" s="8">
        <f>K36/3</f>
        <v/>
      </c>
      <c r="L37" s="23">
        <f>L36/27</f>
        <v/>
      </c>
    </row>
    <row r="38">
      <c r="A38" t="inlineStr">
        <is>
          <t>Renda total acumulada</t>
        </is>
      </c>
      <c r="B38" t="inlineStr">
        <is>
          <t>R$</t>
        </is>
      </c>
      <c r="C38" s="8">
        <f>C36</f>
        <v/>
      </c>
      <c r="D38" s="8">
        <f>C38+D36</f>
        <v/>
      </c>
      <c r="E38" s="8">
        <f>D38+E36</f>
        <v/>
      </c>
      <c r="F38" s="8">
        <f>E38+F36</f>
        <v/>
      </c>
      <c r="G38" s="8">
        <f>F38+G36</f>
        <v/>
      </c>
      <c r="H38" s="8">
        <f>G38+H36</f>
        <v/>
      </c>
      <c r="I38" s="8">
        <f>H38+I36</f>
        <v/>
      </c>
      <c r="J38" s="8">
        <f>I38+J36</f>
        <v/>
      </c>
      <c r="K38" s="8">
        <f>J38+K36</f>
        <v/>
      </c>
      <c r="L38" s="8" t="n"/>
    </row>
    <row r="39">
      <c r="A39" t="inlineStr">
        <is>
          <t>Caixa dos concursos acumulado</t>
        </is>
      </c>
      <c r="B39" t="inlineStr">
        <is>
          <t>R$</t>
        </is>
      </c>
      <c r="C39" s="8">
        <f>C31</f>
        <v/>
      </c>
      <c r="D39" s="8">
        <f>C39+D31</f>
        <v/>
      </c>
      <c r="E39" s="8">
        <f>D39+E31</f>
        <v/>
      </c>
      <c r="F39" s="8">
        <f>E39+F31</f>
        <v/>
      </c>
      <c r="G39" s="8">
        <f>F39+G31</f>
        <v/>
      </c>
      <c r="H39" s="8">
        <f>G39+H31</f>
        <v/>
      </c>
      <c r="I39" s="8">
        <f>H39+I31</f>
        <v/>
      </c>
      <c r="J39" s="8">
        <f>I39+J31</f>
        <v/>
      </c>
      <c r="K39" s="8">
        <f>J39+K31</f>
        <v/>
      </c>
      <c r="L39" s="8" t="n"/>
    </row>
    <row r="40">
      <c r="A40" s="18" t="inlineStr">
        <is>
          <t>CARTEIRA</t>
        </is>
      </c>
      <c r="B40" s="19" t="inlineStr"/>
      <c r="C40" s="20" t="n"/>
      <c r="D40" s="20" t="n"/>
      <c r="E40" s="20" t="n"/>
      <c r="F40" s="20" t="n"/>
      <c r="G40" s="20" t="n"/>
      <c r="H40" s="20" t="n"/>
      <c r="I40" s="20" t="n"/>
      <c r="J40" s="20" t="n"/>
      <c r="K40" s="20" t="n"/>
      <c r="L40" s="20" t="n"/>
    </row>
    <row r="41">
      <c r="A41" t="inlineStr">
        <is>
          <t>Contratos esperados ganhos no período (nº)</t>
        </is>
      </c>
      <c r="B41" t="inlineStr">
        <is>
          <t>nº</t>
        </is>
      </c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24">
        <f>L14</f>
        <v/>
      </c>
    </row>
    <row r="42">
      <c r="A42" t="inlineStr">
        <is>
          <t>Valor líquido dos contratos ganhos a receber após dez/2028</t>
        </is>
      </c>
      <c r="B42" t="inlineStr">
        <is>
          <t>R$</t>
        </is>
      </c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23">
        <f>L14*Premissas!$C$15*Premissas!$C$16*Premissas!$C$17*(1-Premissas!$C$19)-L26*(1-Premissas!$C$19)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0" customWidth="1" min="1" max="1"/>
    <col width="8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>
      <c r="A1" s="4" t="inlineStr">
        <is>
          <t>CENÁRIO REALISTA — valor esperado por trimestre</t>
        </is>
      </c>
    </row>
    <row r="2">
      <c r="A2" t="inlineStr">
        <is>
          <t>Amarelo = inscrições por trimestre (você escolhe). O resto é fórmula ligada à aba Premissas.</t>
        </is>
      </c>
    </row>
    <row r="4">
      <c r="A4" s="17" t="inlineStr">
        <is>
          <t>Item</t>
        </is>
      </c>
      <c r="B4" s="17" t="inlineStr">
        <is>
          <t>Unid.</t>
        </is>
      </c>
      <c r="C4" s="17" t="inlineStr">
        <is>
          <t>T4/26</t>
        </is>
      </c>
      <c r="D4" s="17" t="inlineStr">
        <is>
          <t>T1/27</t>
        </is>
      </c>
      <c r="E4" s="17" t="inlineStr">
        <is>
          <t>T2/27</t>
        </is>
      </c>
      <c r="F4" s="17" t="inlineStr">
        <is>
          <t>T3/27</t>
        </is>
      </c>
      <c r="G4" s="17" t="inlineStr">
        <is>
          <t>T4/27</t>
        </is>
      </c>
      <c r="H4" s="17" t="inlineStr">
        <is>
          <t>T1/28</t>
        </is>
      </c>
      <c r="I4" s="17" t="inlineStr">
        <is>
          <t>T2/28</t>
        </is>
      </c>
      <c r="J4" s="17" t="inlineStr">
        <is>
          <t>T3/28</t>
        </is>
      </c>
      <c r="K4" s="17" t="inlineStr">
        <is>
          <t>T4/28</t>
        </is>
      </c>
      <c r="L4" s="17" t="inlineStr">
        <is>
          <t>Total</t>
        </is>
      </c>
    </row>
    <row r="5">
      <c r="A5" t="inlineStr">
        <is>
          <t>Nº do trimestre</t>
        </is>
      </c>
      <c r="B5" t="inlineStr"/>
      <c r="C5" s="7" t="n">
        <v>1</v>
      </c>
      <c r="D5" s="7" t="n">
        <v>2</v>
      </c>
      <c r="E5" s="7" t="n">
        <v>3</v>
      </c>
      <c r="F5" s="7" t="n">
        <v>4</v>
      </c>
      <c r="G5" s="7" t="n">
        <v>5</v>
      </c>
      <c r="H5" s="7" t="n">
        <v>6</v>
      </c>
      <c r="I5" s="7" t="n">
        <v>7</v>
      </c>
      <c r="J5" s="7" t="n">
        <v>8</v>
      </c>
      <c r="K5" s="7" t="n">
        <v>9</v>
      </c>
      <c r="L5" s="7" t="n"/>
    </row>
    <row r="6">
      <c r="A6" s="18" t="inlineStr">
        <is>
          <t>ENTRADAS</t>
        </is>
      </c>
      <c r="B6" s="19" t="inlineStr"/>
      <c r="C6" s="20" t="n"/>
      <c r="D6" s="20" t="n"/>
      <c r="E6" s="20" t="n"/>
      <c r="F6" s="20" t="n"/>
      <c r="G6" s="20" t="n"/>
      <c r="H6" s="20" t="n"/>
      <c r="I6" s="20" t="n"/>
      <c r="J6" s="20" t="n"/>
      <c r="K6" s="20" t="n"/>
      <c r="L6" s="20" t="n"/>
    </row>
    <row r="7">
      <c r="A7" t="inlineStr">
        <is>
          <t>Concursos nacionais grandes inscritos</t>
        </is>
      </c>
      <c r="B7" t="inlineStr">
        <is>
          <t>nº</t>
        </is>
      </c>
      <c r="C7" s="21" t="n">
        <v>2</v>
      </c>
      <c r="D7" s="21" t="n">
        <v>1</v>
      </c>
      <c r="E7" s="21" t="n">
        <v>1</v>
      </c>
      <c r="F7" s="21" t="n">
        <v>1</v>
      </c>
      <c r="G7" s="21" t="n">
        <v>1</v>
      </c>
      <c r="H7" s="21" t="n">
        <v>1</v>
      </c>
      <c r="I7" s="21" t="n">
        <v>1</v>
      </c>
      <c r="J7" s="21" t="n">
        <v>1</v>
      </c>
      <c r="K7" s="21" t="n">
        <v>2</v>
      </c>
      <c r="L7" s="22">
        <f>SUM(C7:K7)</f>
        <v/>
      </c>
    </row>
    <row r="8">
      <c r="A8" t="inlineStr">
        <is>
          <t>Concursos internacionais inscritos</t>
        </is>
      </c>
      <c r="B8" t="inlineStr">
        <is>
          <t>nº</t>
        </is>
      </c>
      <c r="C8" s="21" t="n">
        <v>1</v>
      </c>
      <c r="D8" s="21" t="n">
        <v>1</v>
      </c>
      <c r="E8" s="21" t="n">
        <v>1</v>
      </c>
      <c r="F8" s="21" t="n">
        <v>1</v>
      </c>
      <c r="G8" s="21" t="n">
        <v>1</v>
      </c>
      <c r="H8" s="21" t="n">
        <v>1</v>
      </c>
      <c r="I8" s="21" t="n">
        <v>1</v>
      </c>
      <c r="J8" s="21" t="n">
        <v>1</v>
      </c>
      <c r="K8" s="21" t="n">
        <v>1</v>
      </c>
      <c r="L8" s="22">
        <f>SUM(C8:K8)</f>
        <v/>
      </c>
    </row>
    <row r="9">
      <c r="A9" s="18" t="inlineStr">
        <is>
          <t>RESULTADOS (saem 1 trimestre após a inscrição)</t>
        </is>
      </c>
      <c r="B9" s="19" t="inlineStr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  <c r="L9" s="20" t="n"/>
    </row>
    <row r="10">
      <c r="A10" t="inlineStr">
        <is>
          <t>Resultados nacionais</t>
        </is>
      </c>
      <c r="B10" t="inlineStr">
        <is>
          <t>nº</t>
        </is>
      </c>
      <c r="C10" s="7" t="n">
        <v>0</v>
      </c>
      <c r="D10" s="7">
        <f>C7</f>
        <v/>
      </c>
      <c r="E10" s="7">
        <f>D7</f>
        <v/>
      </c>
      <c r="F10" s="7">
        <f>E7</f>
        <v/>
      </c>
      <c r="G10" s="7">
        <f>F7</f>
        <v/>
      </c>
      <c r="H10" s="7">
        <f>G7</f>
        <v/>
      </c>
      <c r="I10" s="7">
        <f>H7</f>
        <v/>
      </c>
      <c r="J10" s="7">
        <f>I7</f>
        <v/>
      </c>
      <c r="K10" s="7">
        <f>J7</f>
        <v/>
      </c>
      <c r="L10" s="22">
        <f>SUM(C10:K10)</f>
        <v/>
      </c>
    </row>
    <row r="11">
      <c r="A11" t="inlineStr">
        <is>
          <t>Resultados internacionais</t>
        </is>
      </c>
      <c r="B11" t="inlineStr">
        <is>
          <t>nº</t>
        </is>
      </c>
      <c r="C11" s="7" t="n">
        <v>0</v>
      </c>
      <c r="D11" s="7">
        <f>C8</f>
        <v/>
      </c>
      <c r="E11" s="7">
        <f>D8</f>
        <v/>
      </c>
      <c r="F11" s="7">
        <f>E8</f>
        <v/>
      </c>
      <c r="G11" s="7">
        <f>F8</f>
        <v/>
      </c>
      <c r="H11" s="7">
        <f>G8</f>
        <v/>
      </c>
      <c r="I11" s="7">
        <f>H8</f>
        <v/>
      </c>
      <c r="J11" s="7">
        <f>I8</f>
        <v/>
      </c>
      <c r="K11" s="7">
        <f>J8</f>
        <v/>
      </c>
      <c r="L11" s="22">
        <f>SUM(C11:K11)</f>
        <v/>
      </c>
    </row>
    <row r="12">
      <c r="A12" t="inlineStr">
        <is>
          <t>Prêmios esperados — nacionais</t>
        </is>
      </c>
      <c r="B12" t="inlineStr">
        <is>
          <t>R$</t>
        </is>
      </c>
      <c r="C12" s="8">
        <f>C10*(Premissas!$D$6*Premissas!$D$10+Premissas!$D$7*Premissas!$D$11)</f>
        <v/>
      </c>
      <c r="D12" s="8">
        <f>D10*(Premissas!$D$6*Premissas!$D$10+Premissas!$D$7*Premissas!$D$11)</f>
        <v/>
      </c>
      <c r="E12" s="8">
        <f>E10*(Premissas!$D$6*Premissas!$D$10+Premissas!$D$7*Premissas!$D$11)</f>
        <v/>
      </c>
      <c r="F12" s="8">
        <f>F10*(Premissas!$D$6*Premissas!$D$10+Premissas!$D$7*Premissas!$D$11)</f>
        <v/>
      </c>
      <c r="G12" s="8">
        <f>G10*(Premissas!$D$6*Premissas!$D$10+Premissas!$D$7*Premissas!$D$11)</f>
        <v/>
      </c>
      <c r="H12" s="8">
        <f>H10*(Premissas!$D$6*Premissas!$D$10+Premissas!$D$7*Premissas!$D$11)</f>
        <v/>
      </c>
      <c r="I12" s="8">
        <f>I10*(Premissas!$D$6*Premissas!$D$10+Premissas!$D$7*Premissas!$D$11)</f>
        <v/>
      </c>
      <c r="J12" s="8">
        <f>J10*(Premissas!$D$6*Premissas!$D$10+Premissas!$D$7*Premissas!$D$11)</f>
        <v/>
      </c>
      <c r="K12" s="8">
        <f>K10*(Premissas!$D$6*Premissas!$D$10+Premissas!$D$7*Premissas!$D$11)</f>
        <v/>
      </c>
      <c r="L12" s="23">
        <f>SUM(C12:K12)</f>
        <v/>
      </c>
    </row>
    <row r="13">
      <c r="A13" t="inlineStr">
        <is>
          <t>Prêmios esperados — internacionais</t>
        </is>
      </c>
      <c r="B13" t="inlineStr">
        <is>
          <t>R$</t>
        </is>
      </c>
      <c r="C13" s="8">
        <f>C11*(Premissas!$D$8*Premissas!$D$12+Premissas!$D$9*Premissas!$D$13)*Premissas!$D$5</f>
        <v/>
      </c>
      <c r="D13" s="8">
        <f>D11*(Premissas!$D$8*Premissas!$D$12+Premissas!$D$9*Premissas!$D$13)*Premissas!$D$5</f>
        <v/>
      </c>
      <c r="E13" s="8">
        <f>E11*(Premissas!$D$8*Premissas!$D$12+Premissas!$D$9*Premissas!$D$13)*Premissas!$D$5</f>
        <v/>
      </c>
      <c r="F13" s="8">
        <f>F11*(Premissas!$D$8*Premissas!$D$12+Premissas!$D$9*Premissas!$D$13)*Premissas!$D$5</f>
        <v/>
      </c>
      <c r="G13" s="8">
        <f>G11*(Premissas!$D$8*Premissas!$D$12+Premissas!$D$9*Premissas!$D$13)*Premissas!$D$5</f>
        <v/>
      </c>
      <c r="H13" s="8">
        <f>H11*(Premissas!$D$8*Premissas!$D$12+Premissas!$D$9*Premissas!$D$13)*Premissas!$D$5</f>
        <v/>
      </c>
      <c r="I13" s="8">
        <f>I11*(Premissas!$D$8*Premissas!$D$12+Premissas!$D$9*Premissas!$D$13)*Premissas!$D$5</f>
        <v/>
      </c>
      <c r="J13" s="8">
        <f>J11*(Premissas!$D$8*Premissas!$D$12+Premissas!$D$9*Premissas!$D$13)*Premissas!$D$5</f>
        <v/>
      </c>
      <c r="K13" s="8">
        <f>K11*(Premissas!$D$8*Premissas!$D$12+Premissas!$D$9*Premissas!$D$13)*Premissas!$D$5</f>
        <v/>
      </c>
      <c r="L13" s="23">
        <f>SUM(C13:K13)</f>
        <v/>
      </c>
    </row>
    <row r="14">
      <c r="A14" t="inlineStr">
        <is>
          <t>Contratos esperados ganhos (nº)</t>
        </is>
      </c>
      <c r="B14" t="inlineStr">
        <is>
          <t>nº</t>
        </is>
      </c>
      <c r="C14" s="9">
        <f>C10*Premissas!$D$6*Premissas!$D$14</f>
        <v/>
      </c>
      <c r="D14" s="9">
        <f>D10*Premissas!$D$6*Premissas!$D$14</f>
        <v/>
      </c>
      <c r="E14" s="9">
        <f>E10*Premissas!$D$6*Premissas!$D$14</f>
        <v/>
      </c>
      <c r="F14" s="9">
        <f>F10*Premissas!$D$6*Premissas!$D$14</f>
        <v/>
      </c>
      <c r="G14" s="9">
        <f>G10*Premissas!$D$6*Premissas!$D$14</f>
        <v/>
      </c>
      <c r="H14" s="9">
        <f>H10*Premissas!$D$6*Premissas!$D$14</f>
        <v/>
      </c>
      <c r="I14" s="9">
        <f>I10*Premissas!$D$6*Premissas!$D$14</f>
        <v/>
      </c>
      <c r="J14" s="9">
        <f>J10*Premissas!$D$6*Premissas!$D$14</f>
        <v/>
      </c>
      <c r="K14" s="9">
        <f>K10*Premissas!$D$6*Premissas!$D$14</f>
        <v/>
      </c>
      <c r="L14" s="24">
        <f>SUM(C14:K14)</f>
        <v/>
      </c>
    </row>
    <row r="15">
      <c r="A15" s="18" t="inlineStr">
        <is>
          <t>CONTRATOS (pagam 3 trimestres após o resultado, em 4 parcelas)</t>
        </is>
      </c>
      <c r="B15" s="19" t="inlineStr"/>
      <c r="C15" s="20" t="n"/>
      <c r="D15" s="20" t="n"/>
      <c r="E15" s="20" t="n"/>
      <c r="F15" s="20" t="n"/>
      <c r="G15" s="20" t="n"/>
      <c r="H15" s="20" t="n"/>
      <c r="I15" s="20" t="n"/>
      <c r="J15" s="20" t="n"/>
      <c r="K15" s="20" t="n"/>
      <c r="L15" s="20" t="n"/>
    </row>
    <row r="16">
      <c r="A16" t="inlineStr">
        <is>
          <t>Honorário bruto recebido pelo escritório</t>
        </is>
      </c>
      <c r="B16" t="inlineStr">
        <is>
          <t>R$</t>
        </is>
      </c>
      <c r="C16" s="8">
        <f>Premissas!$D$15/4*0</f>
        <v/>
      </c>
      <c r="D16" s="8">
        <f>Premissas!$D$15/4*0</f>
        <v/>
      </c>
      <c r="E16" s="8">
        <f>Premissas!$D$15/4*0</f>
        <v/>
      </c>
      <c r="F16" s="8">
        <f>Premissas!$D$15/4*SUM(C14:C14)</f>
        <v/>
      </c>
      <c r="G16" s="8">
        <f>Premissas!$D$15/4*SUM(C14:D14)</f>
        <v/>
      </c>
      <c r="H16" s="8">
        <f>Premissas!$D$15/4*SUM(C14:E14)</f>
        <v/>
      </c>
      <c r="I16" s="8">
        <f>Premissas!$D$15/4*SUM(C14:F14)</f>
        <v/>
      </c>
      <c r="J16" s="8">
        <f>Premissas!$D$15/4*SUM(D14:G14)</f>
        <v/>
      </c>
      <c r="K16" s="8">
        <f>Premissas!$D$15/4*SUM(E14:H14)</f>
        <v/>
      </c>
      <c r="L16" s="23">
        <f>SUM(C16:K16)</f>
        <v/>
      </c>
    </row>
    <row r="17">
      <c r="A17" t="inlineStr">
        <is>
          <t>Sua parte, antes do imposto (margem × divisão)</t>
        </is>
      </c>
      <c r="B17" t="inlineStr">
        <is>
          <t>R$</t>
        </is>
      </c>
      <c r="C17" s="8">
        <f>C16*Premissas!$D$16*Premissas!$D$17</f>
        <v/>
      </c>
      <c r="D17" s="8">
        <f>D16*Premissas!$D$16*Premissas!$D$17</f>
        <v/>
      </c>
      <c r="E17" s="8">
        <f>E16*Premissas!$D$16*Premissas!$D$17</f>
        <v/>
      </c>
      <c r="F17" s="8">
        <f>F16*Premissas!$D$16*Premissas!$D$17</f>
        <v/>
      </c>
      <c r="G17" s="8">
        <f>G16*Premissas!$D$16*Premissas!$D$17</f>
        <v/>
      </c>
      <c r="H17" s="8">
        <f>H16*Premissas!$D$16*Premissas!$D$17</f>
        <v/>
      </c>
      <c r="I17" s="8">
        <f>I16*Premissas!$D$16*Premissas!$D$17</f>
        <v/>
      </c>
      <c r="J17" s="8">
        <f>J16*Premissas!$D$16*Premissas!$D$17</f>
        <v/>
      </c>
      <c r="K17" s="8">
        <f>K16*Premissas!$D$16*Premissas!$D$17</f>
        <v/>
      </c>
      <c r="L17" s="23">
        <f>SUM(C17:K17)</f>
        <v/>
      </c>
    </row>
    <row r="18">
      <c r="A18" t="inlineStr">
        <is>
          <t>Horas de execução dos contratos</t>
        </is>
      </c>
      <c r="B18" t="inlineStr">
        <is>
          <t>h</t>
        </is>
      </c>
      <c r="C18" s="7">
        <f>Premissas!$D$22/4*0</f>
        <v/>
      </c>
      <c r="D18" s="7">
        <f>Premissas!$D$22/4*0</f>
        <v/>
      </c>
      <c r="E18" s="7">
        <f>Premissas!$D$22/4*0</f>
        <v/>
      </c>
      <c r="F18" s="7">
        <f>Premissas!$D$22/4*SUM(C14:C14)</f>
        <v/>
      </c>
      <c r="G18" s="7">
        <f>Premissas!$D$22/4*SUM(C14:D14)</f>
        <v/>
      </c>
      <c r="H18" s="7">
        <f>Premissas!$D$22/4*SUM(C14:E14)</f>
        <v/>
      </c>
      <c r="I18" s="7">
        <f>Premissas!$D$22/4*SUM(C14:F14)</f>
        <v/>
      </c>
      <c r="J18" s="7">
        <f>Premissas!$D$22/4*SUM(D14:G14)</f>
        <v/>
      </c>
      <c r="K18" s="7">
        <f>Premissas!$D$22/4*SUM(E14:H14)</f>
        <v/>
      </c>
      <c r="L18" s="22">
        <f>SUM(C18:K18)</f>
        <v/>
      </c>
    </row>
    <row r="19">
      <c r="A19" s="18" t="inlineStr">
        <is>
          <t>HORAS</t>
        </is>
      </c>
      <c r="B19" s="19" t="inlineStr"/>
      <c r="C19" s="20" t="n"/>
      <c r="D19" s="20" t="n"/>
      <c r="E19" s="20" t="n"/>
      <c r="F19" s="20" t="n"/>
      <c r="G19" s="20" t="n"/>
      <c r="H19" s="20" t="n"/>
      <c r="I19" s="20" t="n"/>
      <c r="J19" s="20" t="n"/>
      <c r="K19" s="20" t="n"/>
      <c r="L19" s="20" t="n"/>
    </row>
    <row r="20">
      <c r="A20" t="inlineStr">
        <is>
          <t>Horas de concurso</t>
        </is>
      </c>
      <c r="B20" t="inlineStr">
        <is>
          <t>h</t>
        </is>
      </c>
      <c r="C20" s="7">
        <f>C7*Premissas!$D$20+C8*Premissas!$D$21</f>
        <v/>
      </c>
      <c r="D20" s="7">
        <f>D7*Premissas!$D$20+D8*Premissas!$D$21</f>
        <v/>
      </c>
      <c r="E20" s="7">
        <f>E7*Premissas!$D$20+E8*Premissas!$D$21</f>
        <v/>
      </c>
      <c r="F20" s="7">
        <f>F7*Premissas!$D$20+F8*Premissas!$D$21</f>
        <v/>
      </c>
      <c r="G20" s="7">
        <f>G7*Premissas!$D$20+G8*Premissas!$D$21</f>
        <v/>
      </c>
      <c r="H20" s="7">
        <f>H7*Premissas!$D$20+H8*Premissas!$D$21</f>
        <v/>
      </c>
      <c r="I20" s="7">
        <f>I7*Premissas!$D$20+I8*Premissas!$D$21</f>
        <v/>
      </c>
      <c r="J20" s="7">
        <f>J7*Premissas!$D$20+J8*Premissas!$D$21</f>
        <v/>
      </c>
      <c r="K20" s="7">
        <f>K7*Premissas!$D$20+K8*Premissas!$D$21</f>
        <v/>
      </c>
      <c r="L20" s="22">
        <f>SUM(C20:K20)</f>
        <v/>
      </c>
    </row>
    <row r="21">
      <c r="A21" t="inlineStr">
        <is>
          <t>Horas totais (concurso + contratos)</t>
        </is>
      </c>
      <c r="B21" t="inlineStr">
        <is>
          <t>h</t>
        </is>
      </c>
      <c r="C21" s="7">
        <f>C20+C18</f>
        <v/>
      </c>
      <c r="D21" s="7">
        <f>D20+D18</f>
        <v/>
      </c>
      <c r="E21" s="7">
        <f>E20+E18</f>
        <v/>
      </c>
      <c r="F21" s="7">
        <f>F20+F18</f>
        <v/>
      </c>
      <c r="G21" s="7">
        <f>G20+G18</f>
        <v/>
      </c>
      <c r="H21" s="7">
        <f>H20+H18</f>
        <v/>
      </c>
      <c r="I21" s="7">
        <f>I20+I18</f>
        <v/>
      </c>
      <c r="J21" s="7">
        <f>J20+J18</f>
        <v/>
      </c>
      <c r="K21" s="7">
        <f>K20+K18</f>
        <v/>
      </c>
      <c r="L21" s="7" t="n"/>
    </row>
    <row r="22">
      <c r="A22" t="inlineStr">
        <is>
          <t>Teto de horas</t>
        </is>
      </c>
      <c r="B22" t="inlineStr">
        <is>
          <t>h</t>
        </is>
      </c>
      <c r="C22" s="7">
        <f>Premissas!$D$23</f>
        <v/>
      </c>
      <c r="D22" s="7">
        <f>Premissas!$D$23</f>
        <v/>
      </c>
      <c r="E22" s="7">
        <f>Premissas!$D$23</f>
        <v/>
      </c>
      <c r="F22" s="7">
        <f>Premissas!$D$23</f>
        <v/>
      </c>
      <c r="G22" s="7">
        <f>Premissas!$D$23</f>
        <v/>
      </c>
      <c r="H22" s="7">
        <f>Premissas!$D$23</f>
        <v/>
      </c>
      <c r="I22" s="7">
        <f>Premissas!$D$23</f>
        <v/>
      </c>
      <c r="J22" s="7">
        <f>Premissas!$D$23</f>
        <v/>
      </c>
      <c r="K22" s="7">
        <f>Premissas!$D$23</f>
        <v/>
      </c>
      <c r="L22" s="7" t="n"/>
    </row>
    <row r="23">
      <c r="A23" t="inlineStr">
        <is>
          <t>Capacidade</t>
        </is>
      </c>
      <c r="B23" t="inlineStr"/>
      <c r="C23" s="25">
        <f>IF(C21&gt;C22,"ESTOURA","ok")</f>
        <v/>
      </c>
      <c r="D23" s="25">
        <f>IF(D21&gt;D22,"ESTOURA","ok")</f>
        <v/>
      </c>
      <c r="E23" s="25">
        <f>IF(E21&gt;E22,"ESTOURA","ok")</f>
        <v/>
      </c>
      <c r="F23" s="25">
        <f>IF(F21&gt;F22,"ESTOURA","ok")</f>
        <v/>
      </c>
      <c r="G23" s="25">
        <f>IF(G21&gt;G22,"ESTOURA","ok")</f>
        <v/>
      </c>
      <c r="H23" s="25">
        <f>IF(H21&gt;H22,"ESTOURA","ok")</f>
        <v/>
      </c>
      <c r="I23" s="25">
        <f>IF(I21&gt;I22,"ESTOURA","ok")</f>
        <v/>
      </c>
      <c r="J23" s="25">
        <f>IF(J21&gt;J22,"ESTOURA","ok")</f>
        <v/>
      </c>
      <c r="K23" s="25">
        <f>IF(K21&gt;K22,"ESTOURA","ok")</f>
        <v/>
      </c>
      <c r="L23" s="25" t="n"/>
    </row>
    <row r="24">
      <c r="A24" s="18" t="inlineStr">
        <is>
          <t>CAIXA DOS CONCURSOS</t>
        </is>
      </c>
      <c r="B24" s="19" t="inlineStr"/>
      <c r="C24" s="20" t="n"/>
      <c r="D24" s="20" t="n"/>
      <c r="E24" s="20" t="n"/>
      <c r="F24" s="20" t="n"/>
      <c r="G24" s="20" t="n"/>
      <c r="H24" s="20" t="n"/>
      <c r="I24" s="20" t="n"/>
      <c r="J24" s="20" t="n"/>
      <c r="K24" s="20" t="n"/>
      <c r="L24" s="20" t="n"/>
    </row>
    <row r="25">
      <c r="A25" t="inlineStr">
        <is>
          <t>+ Prêmios</t>
        </is>
      </c>
      <c r="B25" t="inlineStr">
        <is>
          <t>R$</t>
        </is>
      </c>
      <c r="C25" s="8">
        <f>C12+C13</f>
        <v/>
      </c>
      <c r="D25" s="8">
        <f>D12+D13</f>
        <v/>
      </c>
      <c r="E25" s="8">
        <f>E12+E13</f>
        <v/>
      </c>
      <c r="F25" s="8">
        <f>F12+F13</f>
        <v/>
      </c>
      <c r="G25" s="8">
        <f>G12+G13</f>
        <v/>
      </c>
      <c r="H25" s="8">
        <f>H12+H13</f>
        <v/>
      </c>
      <c r="I25" s="8">
        <f>I12+I13</f>
        <v/>
      </c>
      <c r="J25" s="8">
        <f>J12+J13</f>
        <v/>
      </c>
      <c r="K25" s="8">
        <f>K12+K13</f>
        <v/>
      </c>
      <c r="L25" s="23">
        <f>SUM(C25:K25)</f>
        <v/>
      </c>
    </row>
    <row r="26">
      <c r="A26" t="inlineStr">
        <is>
          <t>+ Contratos (sua parte)</t>
        </is>
      </c>
      <c r="B26" t="inlineStr">
        <is>
          <t>R$</t>
        </is>
      </c>
      <c r="C26" s="8">
        <f>C17</f>
        <v/>
      </c>
      <c r="D26" s="8">
        <f>D17</f>
        <v/>
      </c>
      <c r="E26" s="8">
        <f>E17</f>
        <v/>
      </c>
      <c r="F26" s="8">
        <f>F17</f>
        <v/>
      </c>
      <c r="G26" s="8">
        <f>G17</f>
        <v/>
      </c>
      <c r="H26" s="8">
        <f>H17</f>
        <v/>
      </c>
      <c r="I26" s="8">
        <f>I17</f>
        <v/>
      </c>
      <c r="J26" s="8">
        <f>J17</f>
        <v/>
      </c>
      <c r="K26" s="8">
        <f>K17</f>
        <v/>
      </c>
      <c r="L26" s="23">
        <f>SUM(C26:K26)</f>
        <v/>
      </c>
    </row>
    <row r="27">
      <c r="A27" t="inlineStr">
        <is>
          <t>− Impostos</t>
        </is>
      </c>
      <c r="B27" t="inlineStr">
        <is>
          <t>R$</t>
        </is>
      </c>
      <c r="C27" s="8">
        <f>-(C25*Premissas!$D$18+C26*Premissas!$D$19)</f>
        <v/>
      </c>
      <c r="D27" s="8">
        <f>-(D25*Premissas!$D$18+D26*Premissas!$D$19)</f>
        <v/>
      </c>
      <c r="E27" s="8">
        <f>-(E25*Premissas!$D$18+E26*Premissas!$D$19)</f>
        <v/>
      </c>
      <c r="F27" s="8">
        <f>-(F25*Premissas!$D$18+F26*Premissas!$D$19)</f>
        <v/>
      </c>
      <c r="G27" s="8">
        <f>-(G25*Premissas!$D$18+G26*Premissas!$D$19)</f>
        <v/>
      </c>
      <c r="H27" s="8">
        <f>-(H25*Premissas!$D$18+H26*Premissas!$D$19)</f>
        <v/>
      </c>
      <c r="I27" s="8">
        <f>-(I25*Premissas!$D$18+I26*Premissas!$D$19)</f>
        <v/>
      </c>
      <c r="J27" s="8">
        <f>-(J25*Premissas!$D$18+J26*Premissas!$D$19)</f>
        <v/>
      </c>
      <c r="K27" s="8">
        <f>-(K25*Premissas!$D$18+K26*Premissas!$D$19)</f>
        <v/>
      </c>
      <c r="L27" s="23">
        <f>SUM(C27:K27)</f>
        <v/>
      </c>
    </row>
    <row r="28">
      <c r="A28" t="inlineStr">
        <is>
          <t>− Ferramentas</t>
        </is>
      </c>
      <c r="B28" t="inlineStr">
        <is>
          <t>R$</t>
        </is>
      </c>
      <c r="C28" s="8">
        <f>-3*Premissas!$D$25*Premissas!$D$26</f>
        <v/>
      </c>
      <c r="D28" s="8">
        <f>-3*Premissas!$D$25*Premissas!$D$26</f>
        <v/>
      </c>
      <c r="E28" s="8">
        <f>-3*Premissas!$D$25*Premissas!$D$26</f>
        <v/>
      </c>
      <c r="F28" s="8">
        <f>-3*Premissas!$D$25*Premissas!$D$26</f>
        <v/>
      </c>
      <c r="G28" s="8">
        <f>-3*Premissas!$D$25*Premissas!$D$26</f>
        <v/>
      </c>
      <c r="H28" s="8">
        <f>-3*Premissas!$D$25*Premissas!$D$26</f>
        <v/>
      </c>
      <c r="I28" s="8">
        <f>-3*Premissas!$D$25*Premissas!$D$26</f>
        <v/>
      </c>
      <c r="J28" s="8">
        <f>-3*Premissas!$D$25*Premissas!$D$26</f>
        <v/>
      </c>
      <c r="K28" s="8">
        <f>-3*Premissas!$D$25*Premissas!$D$26</f>
        <v/>
      </c>
      <c r="L28" s="23">
        <f>SUM(C28:K28)</f>
        <v/>
      </c>
    </row>
    <row r="29">
      <c r="A29" t="inlineStr">
        <is>
          <t>− Inscrições internacionais</t>
        </is>
      </c>
      <c r="B29" t="inlineStr">
        <is>
          <t>R$</t>
        </is>
      </c>
      <c r="C29" s="8">
        <f>-C8*Premissas!$D$27</f>
        <v/>
      </c>
      <c r="D29" s="8">
        <f>-D8*Premissas!$D$27</f>
        <v/>
      </c>
      <c r="E29" s="8">
        <f>-E8*Premissas!$D$27</f>
        <v/>
      </c>
      <c r="F29" s="8">
        <f>-F8*Premissas!$D$27</f>
        <v/>
      </c>
      <c r="G29" s="8">
        <f>-G8*Premissas!$D$27</f>
        <v/>
      </c>
      <c r="H29" s="8">
        <f>-H8*Premissas!$D$27</f>
        <v/>
      </c>
      <c r="I29" s="8">
        <f>-I8*Premissas!$D$27</f>
        <v/>
      </c>
      <c r="J29" s="8">
        <f>-J8*Premissas!$D$27</f>
        <v/>
      </c>
      <c r="K29" s="8">
        <f>-K8*Premissas!$D$27</f>
        <v/>
      </c>
      <c r="L29" s="23">
        <f>SUM(C29:K29)</f>
        <v/>
      </c>
    </row>
    <row r="30">
      <c r="A30" t="inlineStr">
        <is>
          <t>− CNPJ e contabilidade</t>
        </is>
      </c>
      <c r="B30" t="inlineStr">
        <is>
          <t>R$</t>
        </is>
      </c>
      <c r="C30" s="8" t="n">
        <v>0</v>
      </c>
      <c r="D30" s="8">
        <f>-3*Premissas!$D$28</f>
        <v/>
      </c>
      <c r="E30" s="8">
        <f>-3*Premissas!$D$28</f>
        <v/>
      </c>
      <c r="F30" s="8">
        <f>-3*Premissas!$D$28</f>
        <v/>
      </c>
      <c r="G30" s="8">
        <f>-3*Premissas!$D$28</f>
        <v/>
      </c>
      <c r="H30" s="8">
        <f>-3*Premissas!$D$28</f>
        <v/>
      </c>
      <c r="I30" s="8">
        <f>-3*Premissas!$D$28</f>
        <v/>
      </c>
      <c r="J30" s="8">
        <f>-3*Premissas!$D$28</f>
        <v/>
      </c>
      <c r="K30" s="8">
        <f>-3*Premissas!$D$28</f>
        <v/>
      </c>
      <c r="L30" s="23">
        <f>SUM(C30:K30)</f>
        <v/>
      </c>
    </row>
    <row r="31">
      <c r="A31" s="10" t="inlineStr">
        <is>
          <t>Caixa líquido dos concursos (soma)</t>
        </is>
      </c>
      <c r="B31" s="10" t="inlineStr">
        <is>
          <t>R$</t>
        </is>
      </c>
      <c r="C31" s="11">
        <f>SUM(C25:C30)</f>
        <v/>
      </c>
      <c r="D31" s="11">
        <f>SUM(D25:D30)</f>
        <v/>
      </c>
      <c r="E31" s="11">
        <f>SUM(E25:E30)</f>
        <v/>
      </c>
      <c r="F31" s="11">
        <f>SUM(F25:F30)</f>
        <v/>
      </c>
      <c r="G31" s="11">
        <f>SUM(G25:G30)</f>
        <v/>
      </c>
      <c r="H31" s="11">
        <f>SUM(H25:H30)</f>
        <v/>
      </c>
      <c r="I31" s="11">
        <f>SUM(I25:I30)</f>
        <v/>
      </c>
      <c r="J31" s="11">
        <f>SUM(J25:J30)</f>
        <v/>
      </c>
      <c r="K31" s="11">
        <f>SUM(K25:K30)</f>
        <v/>
      </c>
      <c r="L31" s="23">
        <f>SUM(C31:K31)</f>
        <v/>
      </c>
    </row>
    <row r="32">
      <c r="A32" t="inlineStr">
        <is>
          <t>− Valor das horas de concurso (custo de oportunidade)</t>
        </is>
      </c>
      <c r="B32" t="inlineStr">
        <is>
          <t>R$</t>
        </is>
      </c>
      <c r="C32" s="8">
        <f>-C20*Premissas!$D$24</f>
        <v/>
      </c>
      <c r="D32" s="8">
        <f>-D20*Premissas!$D$24</f>
        <v/>
      </c>
      <c r="E32" s="8">
        <f>-E20*Premissas!$D$24</f>
        <v/>
      </c>
      <c r="F32" s="8">
        <f>-F20*Premissas!$D$24</f>
        <v/>
      </c>
      <c r="G32" s="8">
        <f>-G20*Premissas!$D$24</f>
        <v/>
      </c>
      <c r="H32" s="8">
        <f>-H20*Premissas!$D$24</f>
        <v/>
      </c>
      <c r="I32" s="8">
        <f>-I20*Premissas!$D$24</f>
        <v/>
      </c>
      <c r="J32" s="8">
        <f>-J20*Premissas!$D$24</f>
        <v/>
      </c>
      <c r="K32" s="8">
        <f>-K20*Premissas!$D$24</f>
        <v/>
      </c>
      <c r="L32" s="23">
        <f>SUM(C32:K32)</f>
        <v/>
      </c>
    </row>
    <row r="33">
      <c r="A33" s="10" t="inlineStr">
        <is>
          <t>Líquido depois das horas (soma)</t>
        </is>
      </c>
      <c r="B33" s="10" t="inlineStr">
        <is>
          <t>R$</t>
        </is>
      </c>
      <c r="C33" s="11">
        <f>C31+C32</f>
        <v/>
      </c>
      <c r="D33" s="11">
        <f>D31+D32</f>
        <v/>
      </c>
      <c r="E33" s="11">
        <f>E31+E32</f>
        <v/>
      </c>
      <c r="F33" s="11">
        <f>F31+F32</f>
        <v/>
      </c>
      <c r="G33" s="11">
        <f>G31+G32</f>
        <v/>
      </c>
      <c r="H33" s="11">
        <f>H31+H32</f>
        <v/>
      </c>
      <c r="I33" s="11">
        <f>I31+I32</f>
        <v/>
      </c>
      <c r="J33" s="11">
        <f>J31+J32</f>
        <v/>
      </c>
      <c r="K33" s="11">
        <f>K31+K32</f>
        <v/>
      </c>
      <c r="L33" s="23">
        <f>SUM(C33:K33)</f>
        <v/>
      </c>
    </row>
    <row r="34">
      <c r="A34" s="18" t="inlineStr">
        <is>
          <t>RENDA TOTAL</t>
        </is>
      </c>
      <c r="B34" s="19" t="inlineStr"/>
      <c r="C34" s="20" t="n"/>
      <c r="D34" s="20" t="n"/>
      <c r="E34" s="20" t="n"/>
      <c r="F34" s="20" t="n"/>
      <c r="G34" s="20" t="n"/>
      <c r="H34" s="20" t="n"/>
      <c r="I34" s="20" t="n"/>
      <c r="J34" s="20" t="n"/>
      <c r="K34" s="20" t="n"/>
      <c r="L34" s="20" t="n"/>
    </row>
    <row r="35">
      <c r="A35" t="inlineStr">
        <is>
          <t>Perna 2 (PSCIP/PICIP, Revit, casa)</t>
        </is>
      </c>
      <c r="B35" t="inlineStr">
        <is>
          <t>R$</t>
        </is>
      </c>
      <c r="C35" s="8">
        <f>3*Premissas!$D$29*(1+Premissas!$D$30)^((C5-1)/4)*(1+IF(C5&gt;=Premissas!$D$32,Premissas!$D$31,0))</f>
        <v/>
      </c>
      <c r="D35" s="8">
        <f>3*Premissas!$D$29*(1+Premissas!$D$30)^((D5-1)/4)*(1+IF(D5&gt;=Premissas!$D$32,Premissas!$D$31,0))</f>
        <v/>
      </c>
      <c r="E35" s="8">
        <f>3*Premissas!$D$29*(1+Premissas!$D$30)^((E5-1)/4)*(1+IF(E5&gt;=Premissas!$D$32,Premissas!$D$31,0))</f>
        <v/>
      </c>
      <c r="F35" s="8">
        <f>3*Premissas!$D$29*(1+Premissas!$D$30)^((F5-1)/4)*(1+IF(F5&gt;=Premissas!$D$32,Premissas!$D$31,0))</f>
        <v/>
      </c>
      <c r="G35" s="8">
        <f>3*Premissas!$D$29*(1+Premissas!$D$30)^((G5-1)/4)*(1+IF(G5&gt;=Premissas!$D$32,Premissas!$D$31,0))</f>
        <v/>
      </c>
      <c r="H35" s="8">
        <f>3*Premissas!$D$29*(1+Premissas!$D$30)^((H5-1)/4)*(1+IF(H5&gt;=Premissas!$D$32,Premissas!$D$31,0))</f>
        <v/>
      </c>
      <c r="I35" s="8">
        <f>3*Premissas!$D$29*(1+Premissas!$D$30)^((I5-1)/4)*(1+IF(I5&gt;=Premissas!$D$32,Premissas!$D$31,0))</f>
        <v/>
      </c>
      <c r="J35" s="8">
        <f>3*Premissas!$D$29*(1+Premissas!$D$30)^((J5-1)/4)*(1+IF(J5&gt;=Premissas!$D$32,Premissas!$D$31,0))</f>
        <v/>
      </c>
      <c r="K35" s="8">
        <f>3*Premissas!$D$29*(1+Premissas!$D$30)^((K5-1)/4)*(1+IF(K5&gt;=Premissas!$D$32,Premissas!$D$31,0))</f>
        <v/>
      </c>
      <c r="L35" s="23">
        <f>SUM(C35:K35)</f>
        <v/>
      </c>
    </row>
    <row r="36">
      <c r="A36" s="10" t="inlineStr">
        <is>
          <t>Renda total do trimestre (caixa concursos + perna 2)</t>
        </is>
      </c>
      <c r="B36" s="10" t="inlineStr">
        <is>
          <t>R$</t>
        </is>
      </c>
      <c r="C36" s="11">
        <f>C31+C35</f>
        <v/>
      </c>
      <c r="D36" s="11">
        <f>D31+D35</f>
        <v/>
      </c>
      <c r="E36" s="11">
        <f>E31+E35</f>
        <v/>
      </c>
      <c r="F36" s="11">
        <f>F31+F35</f>
        <v/>
      </c>
      <c r="G36" s="11">
        <f>G31+G35</f>
        <v/>
      </c>
      <c r="H36" s="11">
        <f>H31+H35</f>
        <v/>
      </c>
      <c r="I36" s="11">
        <f>I31+I35</f>
        <v/>
      </c>
      <c r="J36" s="11">
        <f>J31+J35</f>
        <v/>
      </c>
      <c r="K36" s="11">
        <f>K31+K35</f>
        <v/>
      </c>
      <c r="L36" s="23">
        <f>SUM(C36:K36)</f>
        <v/>
      </c>
    </row>
    <row r="37">
      <c r="A37" t="inlineStr">
        <is>
          <t>Renda mensal média no trimestre</t>
        </is>
      </c>
      <c r="B37" t="inlineStr">
        <is>
          <t>R$/mês</t>
        </is>
      </c>
      <c r="C37" s="8">
        <f>C36/3</f>
        <v/>
      </c>
      <c r="D37" s="8">
        <f>D36/3</f>
        <v/>
      </c>
      <c r="E37" s="8">
        <f>E36/3</f>
        <v/>
      </c>
      <c r="F37" s="8">
        <f>F36/3</f>
        <v/>
      </c>
      <c r="G37" s="8">
        <f>G36/3</f>
        <v/>
      </c>
      <c r="H37" s="8">
        <f>H36/3</f>
        <v/>
      </c>
      <c r="I37" s="8">
        <f>I36/3</f>
        <v/>
      </c>
      <c r="J37" s="8">
        <f>J36/3</f>
        <v/>
      </c>
      <c r="K37" s="8">
        <f>K36/3</f>
        <v/>
      </c>
      <c r="L37" s="23">
        <f>L36/27</f>
        <v/>
      </c>
    </row>
    <row r="38">
      <c r="A38" t="inlineStr">
        <is>
          <t>Renda total acumulada</t>
        </is>
      </c>
      <c r="B38" t="inlineStr">
        <is>
          <t>R$</t>
        </is>
      </c>
      <c r="C38" s="8">
        <f>C36</f>
        <v/>
      </c>
      <c r="D38" s="8">
        <f>C38+D36</f>
        <v/>
      </c>
      <c r="E38" s="8">
        <f>D38+E36</f>
        <v/>
      </c>
      <c r="F38" s="8">
        <f>E38+F36</f>
        <v/>
      </c>
      <c r="G38" s="8">
        <f>F38+G36</f>
        <v/>
      </c>
      <c r="H38" s="8">
        <f>G38+H36</f>
        <v/>
      </c>
      <c r="I38" s="8">
        <f>H38+I36</f>
        <v/>
      </c>
      <c r="J38" s="8">
        <f>I38+J36</f>
        <v/>
      </c>
      <c r="K38" s="8">
        <f>J38+K36</f>
        <v/>
      </c>
      <c r="L38" s="8" t="n"/>
    </row>
    <row r="39">
      <c r="A39" t="inlineStr">
        <is>
          <t>Caixa dos concursos acumulado</t>
        </is>
      </c>
      <c r="B39" t="inlineStr">
        <is>
          <t>R$</t>
        </is>
      </c>
      <c r="C39" s="8">
        <f>C31</f>
        <v/>
      </c>
      <c r="D39" s="8">
        <f>C39+D31</f>
        <v/>
      </c>
      <c r="E39" s="8">
        <f>D39+E31</f>
        <v/>
      </c>
      <c r="F39" s="8">
        <f>E39+F31</f>
        <v/>
      </c>
      <c r="G39" s="8">
        <f>F39+G31</f>
        <v/>
      </c>
      <c r="H39" s="8">
        <f>G39+H31</f>
        <v/>
      </c>
      <c r="I39" s="8">
        <f>H39+I31</f>
        <v/>
      </c>
      <c r="J39" s="8">
        <f>I39+J31</f>
        <v/>
      </c>
      <c r="K39" s="8">
        <f>J39+K31</f>
        <v/>
      </c>
      <c r="L39" s="8" t="n"/>
    </row>
    <row r="40">
      <c r="A40" s="18" t="inlineStr">
        <is>
          <t>CARTEIRA</t>
        </is>
      </c>
      <c r="B40" s="19" t="inlineStr"/>
      <c r="C40" s="20" t="n"/>
      <c r="D40" s="20" t="n"/>
      <c r="E40" s="20" t="n"/>
      <c r="F40" s="20" t="n"/>
      <c r="G40" s="20" t="n"/>
      <c r="H40" s="20" t="n"/>
      <c r="I40" s="20" t="n"/>
      <c r="J40" s="20" t="n"/>
      <c r="K40" s="20" t="n"/>
      <c r="L40" s="20" t="n"/>
    </row>
    <row r="41">
      <c r="A41" t="inlineStr">
        <is>
          <t>Contratos esperados ganhos no período (nº)</t>
        </is>
      </c>
      <c r="B41" t="inlineStr">
        <is>
          <t>nº</t>
        </is>
      </c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24">
        <f>L14</f>
        <v/>
      </c>
    </row>
    <row r="42">
      <c r="A42" t="inlineStr">
        <is>
          <t>Valor líquido dos contratos ganhos a receber após dez/2028</t>
        </is>
      </c>
      <c r="B42" t="inlineStr">
        <is>
          <t>R$</t>
        </is>
      </c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23">
        <f>L14*Premissas!$D$15*Premissas!$D$16*Premissas!$D$17*(1-Premissas!$D$19)-L26*(1-Premissas!$D$19)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0" customWidth="1" min="1" max="1"/>
    <col width="8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>
      <c r="A1" s="4" t="inlineStr">
        <is>
          <t>CENÁRIO OTIMISTA — valor esperado por trimestre</t>
        </is>
      </c>
    </row>
    <row r="2">
      <c r="A2" t="inlineStr">
        <is>
          <t>Amarelo = inscrições por trimestre (você escolhe). O resto é fórmula ligada à aba Premissas.</t>
        </is>
      </c>
    </row>
    <row r="4">
      <c r="A4" s="17" t="inlineStr">
        <is>
          <t>Item</t>
        </is>
      </c>
      <c r="B4" s="17" t="inlineStr">
        <is>
          <t>Unid.</t>
        </is>
      </c>
      <c r="C4" s="17" t="inlineStr">
        <is>
          <t>T4/26</t>
        </is>
      </c>
      <c r="D4" s="17" t="inlineStr">
        <is>
          <t>T1/27</t>
        </is>
      </c>
      <c r="E4" s="17" t="inlineStr">
        <is>
          <t>T2/27</t>
        </is>
      </c>
      <c r="F4" s="17" t="inlineStr">
        <is>
          <t>T3/27</t>
        </is>
      </c>
      <c r="G4" s="17" t="inlineStr">
        <is>
          <t>T4/27</t>
        </is>
      </c>
      <c r="H4" s="17" t="inlineStr">
        <is>
          <t>T1/28</t>
        </is>
      </c>
      <c r="I4" s="17" t="inlineStr">
        <is>
          <t>T2/28</t>
        </is>
      </c>
      <c r="J4" s="17" t="inlineStr">
        <is>
          <t>T3/28</t>
        </is>
      </c>
      <c r="K4" s="17" t="inlineStr">
        <is>
          <t>T4/28</t>
        </is>
      </c>
      <c r="L4" s="17" t="inlineStr">
        <is>
          <t>Total</t>
        </is>
      </c>
    </row>
    <row r="5">
      <c r="A5" t="inlineStr">
        <is>
          <t>Nº do trimestre</t>
        </is>
      </c>
      <c r="B5" t="inlineStr"/>
      <c r="C5" s="7" t="n">
        <v>1</v>
      </c>
      <c r="D5" s="7" t="n">
        <v>2</v>
      </c>
      <c r="E5" s="7" t="n">
        <v>3</v>
      </c>
      <c r="F5" s="7" t="n">
        <v>4</v>
      </c>
      <c r="G5" s="7" t="n">
        <v>5</v>
      </c>
      <c r="H5" s="7" t="n">
        <v>6</v>
      </c>
      <c r="I5" s="7" t="n">
        <v>7</v>
      </c>
      <c r="J5" s="7" t="n">
        <v>8</v>
      </c>
      <c r="K5" s="7" t="n">
        <v>9</v>
      </c>
      <c r="L5" s="7" t="n"/>
    </row>
    <row r="6">
      <c r="A6" s="18" t="inlineStr">
        <is>
          <t>ENTRADAS</t>
        </is>
      </c>
      <c r="B6" s="19" t="inlineStr"/>
      <c r="C6" s="20" t="n"/>
      <c r="D6" s="20" t="n"/>
      <c r="E6" s="20" t="n"/>
      <c r="F6" s="20" t="n"/>
      <c r="G6" s="20" t="n"/>
      <c r="H6" s="20" t="n"/>
      <c r="I6" s="20" t="n"/>
      <c r="J6" s="20" t="n"/>
      <c r="K6" s="20" t="n"/>
      <c r="L6" s="20" t="n"/>
    </row>
    <row r="7">
      <c r="A7" t="inlineStr">
        <is>
          <t>Concursos nacionais grandes inscritos</t>
        </is>
      </c>
      <c r="B7" t="inlineStr">
        <is>
          <t>nº</t>
        </is>
      </c>
      <c r="C7" s="21" t="n">
        <v>2</v>
      </c>
      <c r="D7" s="21" t="n">
        <v>2</v>
      </c>
      <c r="E7" s="21" t="n">
        <v>1</v>
      </c>
      <c r="F7" s="21" t="n">
        <v>2</v>
      </c>
      <c r="G7" s="21" t="n">
        <v>1</v>
      </c>
      <c r="H7" s="21" t="n">
        <v>2</v>
      </c>
      <c r="I7" s="21" t="n">
        <v>1</v>
      </c>
      <c r="J7" s="21" t="n">
        <v>2</v>
      </c>
      <c r="K7" s="21" t="n">
        <v>1</v>
      </c>
      <c r="L7" s="22">
        <f>SUM(C7:K7)</f>
        <v/>
      </c>
    </row>
    <row r="8">
      <c r="A8" t="inlineStr">
        <is>
          <t>Concursos internacionais inscritos</t>
        </is>
      </c>
      <c r="B8" t="inlineStr">
        <is>
          <t>nº</t>
        </is>
      </c>
      <c r="C8" s="21" t="n">
        <v>1</v>
      </c>
      <c r="D8" s="21" t="n">
        <v>1</v>
      </c>
      <c r="E8" s="21" t="n">
        <v>2</v>
      </c>
      <c r="F8" s="21" t="n">
        <v>1</v>
      </c>
      <c r="G8" s="21" t="n">
        <v>1</v>
      </c>
      <c r="H8" s="21" t="n">
        <v>1</v>
      </c>
      <c r="I8" s="21" t="n">
        <v>2</v>
      </c>
      <c r="J8" s="21" t="n">
        <v>1</v>
      </c>
      <c r="K8" s="21" t="n">
        <v>1</v>
      </c>
      <c r="L8" s="22">
        <f>SUM(C8:K8)</f>
        <v/>
      </c>
    </row>
    <row r="9">
      <c r="A9" s="18" t="inlineStr">
        <is>
          <t>RESULTADOS (saem 1 trimestre após a inscrição)</t>
        </is>
      </c>
      <c r="B9" s="19" t="inlineStr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  <c r="L9" s="20" t="n"/>
    </row>
    <row r="10">
      <c r="A10" t="inlineStr">
        <is>
          <t>Resultados nacionais</t>
        </is>
      </c>
      <c r="B10" t="inlineStr">
        <is>
          <t>nº</t>
        </is>
      </c>
      <c r="C10" s="7" t="n">
        <v>0</v>
      </c>
      <c r="D10" s="7">
        <f>C7</f>
        <v/>
      </c>
      <c r="E10" s="7">
        <f>D7</f>
        <v/>
      </c>
      <c r="F10" s="7">
        <f>E7</f>
        <v/>
      </c>
      <c r="G10" s="7">
        <f>F7</f>
        <v/>
      </c>
      <c r="H10" s="7">
        <f>G7</f>
        <v/>
      </c>
      <c r="I10" s="7">
        <f>H7</f>
        <v/>
      </c>
      <c r="J10" s="7">
        <f>I7</f>
        <v/>
      </c>
      <c r="K10" s="7">
        <f>J7</f>
        <v/>
      </c>
      <c r="L10" s="22">
        <f>SUM(C10:K10)</f>
        <v/>
      </c>
    </row>
    <row r="11">
      <c r="A11" t="inlineStr">
        <is>
          <t>Resultados internacionais</t>
        </is>
      </c>
      <c r="B11" t="inlineStr">
        <is>
          <t>nº</t>
        </is>
      </c>
      <c r="C11" s="7" t="n">
        <v>0</v>
      </c>
      <c r="D11" s="7">
        <f>C8</f>
        <v/>
      </c>
      <c r="E11" s="7">
        <f>D8</f>
        <v/>
      </c>
      <c r="F11" s="7">
        <f>E8</f>
        <v/>
      </c>
      <c r="G11" s="7">
        <f>F8</f>
        <v/>
      </c>
      <c r="H11" s="7">
        <f>G8</f>
        <v/>
      </c>
      <c r="I11" s="7">
        <f>H8</f>
        <v/>
      </c>
      <c r="J11" s="7">
        <f>I8</f>
        <v/>
      </c>
      <c r="K11" s="7">
        <f>J8</f>
        <v/>
      </c>
      <c r="L11" s="22">
        <f>SUM(C11:K11)</f>
        <v/>
      </c>
    </row>
    <row r="12">
      <c r="A12" t="inlineStr">
        <is>
          <t>Prêmios esperados — nacionais</t>
        </is>
      </c>
      <c r="B12" t="inlineStr">
        <is>
          <t>R$</t>
        </is>
      </c>
      <c r="C12" s="8">
        <f>C10*(Premissas!$E$6*Premissas!$E$10+Premissas!$E$7*Premissas!$E$11)</f>
        <v/>
      </c>
      <c r="D12" s="8">
        <f>D10*(Premissas!$E$6*Premissas!$E$10+Premissas!$E$7*Premissas!$E$11)</f>
        <v/>
      </c>
      <c r="E12" s="8">
        <f>E10*(Premissas!$E$6*Premissas!$E$10+Premissas!$E$7*Premissas!$E$11)</f>
        <v/>
      </c>
      <c r="F12" s="8">
        <f>F10*(Premissas!$E$6*Premissas!$E$10+Premissas!$E$7*Premissas!$E$11)</f>
        <v/>
      </c>
      <c r="G12" s="8">
        <f>G10*(Premissas!$E$6*Premissas!$E$10+Premissas!$E$7*Premissas!$E$11)</f>
        <v/>
      </c>
      <c r="H12" s="8">
        <f>H10*(Premissas!$E$6*Premissas!$E$10+Premissas!$E$7*Premissas!$E$11)</f>
        <v/>
      </c>
      <c r="I12" s="8">
        <f>I10*(Premissas!$E$6*Premissas!$E$10+Premissas!$E$7*Premissas!$E$11)</f>
        <v/>
      </c>
      <c r="J12" s="8">
        <f>J10*(Premissas!$E$6*Premissas!$E$10+Premissas!$E$7*Premissas!$E$11)</f>
        <v/>
      </c>
      <c r="K12" s="8">
        <f>K10*(Premissas!$E$6*Premissas!$E$10+Premissas!$E$7*Premissas!$E$11)</f>
        <v/>
      </c>
      <c r="L12" s="23">
        <f>SUM(C12:K12)</f>
        <v/>
      </c>
    </row>
    <row r="13">
      <c r="A13" t="inlineStr">
        <is>
          <t>Prêmios esperados — internacionais</t>
        </is>
      </c>
      <c r="B13" t="inlineStr">
        <is>
          <t>R$</t>
        </is>
      </c>
      <c r="C13" s="8">
        <f>C11*(Premissas!$E$8*Premissas!$E$12+Premissas!$E$9*Premissas!$E$13)*Premissas!$E$5</f>
        <v/>
      </c>
      <c r="D13" s="8">
        <f>D11*(Premissas!$E$8*Premissas!$E$12+Premissas!$E$9*Premissas!$E$13)*Premissas!$E$5</f>
        <v/>
      </c>
      <c r="E13" s="8">
        <f>E11*(Premissas!$E$8*Premissas!$E$12+Premissas!$E$9*Premissas!$E$13)*Premissas!$E$5</f>
        <v/>
      </c>
      <c r="F13" s="8">
        <f>F11*(Premissas!$E$8*Premissas!$E$12+Premissas!$E$9*Premissas!$E$13)*Premissas!$E$5</f>
        <v/>
      </c>
      <c r="G13" s="8">
        <f>G11*(Premissas!$E$8*Premissas!$E$12+Premissas!$E$9*Premissas!$E$13)*Premissas!$E$5</f>
        <v/>
      </c>
      <c r="H13" s="8">
        <f>H11*(Premissas!$E$8*Premissas!$E$12+Premissas!$E$9*Premissas!$E$13)*Premissas!$E$5</f>
        <v/>
      </c>
      <c r="I13" s="8">
        <f>I11*(Premissas!$E$8*Premissas!$E$12+Premissas!$E$9*Premissas!$E$13)*Premissas!$E$5</f>
        <v/>
      </c>
      <c r="J13" s="8">
        <f>J11*(Premissas!$E$8*Premissas!$E$12+Premissas!$E$9*Premissas!$E$13)*Premissas!$E$5</f>
        <v/>
      </c>
      <c r="K13" s="8">
        <f>K11*(Premissas!$E$8*Premissas!$E$12+Premissas!$E$9*Premissas!$E$13)*Premissas!$E$5</f>
        <v/>
      </c>
      <c r="L13" s="23">
        <f>SUM(C13:K13)</f>
        <v/>
      </c>
    </row>
    <row r="14">
      <c r="A14" t="inlineStr">
        <is>
          <t>Contratos esperados ganhos (nº)</t>
        </is>
      </c>
      <c r="B14" t="inlineStr">
        <is>
          <t>nº</t>
        </is>
      </c>
      <c r="C14" s="9">
        <f>C10*Premissas!$E$6*Premissas!$E$14</f>
        <v/>
      </c>
      <c r="D14" s="9">
        <f>D10*Premissas!$E$6*Premissas!$E$14</f>
        <v/>
      </c>
      <c r="E14" s="9">
        <f>E10*Premissas!$E$6*Premissas!$E$14</f>
        <v/>
      </c>
      <c r="F14" s="9">
        <f>F10*Premissas!$E$6*Premissas!$E$14</f>
        <v/>
      </c>
      <c r="G14" s="9">
        <f>G10*Premissas!$E$6*Premissas!$E$14</f>
        <v/>
      </c>
      <c r="H14" s="9">
        <f>H10*Premissas!$E$6*Premissas!$E$14</f>
        <v/>
      </c>
      <c r="I14" s="9">
        <f>I10*Premissas!$E$6*Premissas!$E$14</f>
        <v/>
      </c>
      <c r="J14" s="9">
        <f>J10*Premissas!$E$6*Premissas!$E$14</f>
        <v/>
      </c>
      <c r="K14" s="9">
        <f>K10*Premissas!$E$6*Premissas!$E$14</f>
        <v/>
      </c>
      <c r="L14" s="24">
        <f>SUM(C14:K14)</f>
        <v/>
      </c>
    </row>
    <row r="15">
      <c r="A15" s="18" t="inlineStr">
        <is>
          <t>CONTRATOS (pagam 3 trimestres após o resultado, em 4 parcelas)</t>
        </is>
      </c>
      <c r="B15" s="19" t="inlineStr"/>
      <c r="C15" s="20" t="n"/>
      <c r="D15" s="20" t="n"/>
      <c r="E15" s="20" t="n"/>
      <c r="F15" s="20" t="n"/>
      <c r="G15" s="20" t="n"/>
      <c r="H15" s="20" t="n"/>
      <c r="I15" s="20" t="n"/>
      <c r="J15" s="20" t="n"/>
      <c r="K15" s="20" t="n"/>
      <c r="L15" s="20" t="n"/>
    </row>
    <row r="16">
      <c r="A16" t="inlineStr">
        <is>
          <t>Honorário bruto recebido pelo escritório</t>
        </is>
      </c>
      <c r="B16" t="inlineStr">
        <is>
          <t>R$</t>
        </is>
      </c>
      <c r="C16" s="8">
        <f>Premissas!$E$15/4*0</f>
        <v/>
      </c>
      <c r="D16" s="8">
        <f>Premissas!$E$15/4*0</f>
        <v/>
      </c>
      <c r="E16" s="8">
        <f>Premissas!$E$15/4*0</f>
        <v/>
      </c>
      <c r="F16" s="8">
        <f>Premissas!$E$15/4*SUM(C14:C14)</f>
        <v/>
      </c>
      <c r="G16" s="8">
        <f>Premissas!$E$15/4*SUM(C14:D14)</f>
        <v/>
      </c>
      <c r="H16" s="8">
        <f>Premissas!$E$15/4*SUM(C14:E14)</f>
        <v/>
      </c>
      <c r="I16" s="8">
        <f>Premissas!$E$15/4*SUM(C14:F14)</f>
        <v/>
      </c>
      <c r="J16" s="8">
        <f>Premissas!$E$15/4*SUM(D14:G14)</f>
        <v/>
      </c>
      <c r="K16" s="8">
        <f>Premissas!$E$15/4*SUM(E14:H14)</f>
        <v/>
      </c>
      <c r="L16" s="23">
        <f>SUM(C16:K16)</f>
        <v/>
      </c>
    </row>
    <row r="17">
      <c r="A17" t="inlineStr">
        <is>
          <t>Sua parte, antes do imposto (margem × divisão)</t>
        </is>
      </c>
      <c r="B17" t="inlineStr">
        <is>
          <t>R$</t>
        </is>
      </c>
      <c r="C17" s="8">
        <f>C16*Premissas!$E$16*Premissas!$E$17</f>
        <v/>
      </c>
      <c r="D17" s="8">
        <f>D16*Premissas!$E$16*Premissas!$E$17</f>
        <v/>
      </c>
      <c r="E17" s="8">
        <f>E16*Premissas!$E$16*Premissas!$E$17</f>
        <v/>
      </c>
      <c r="F17" s="8">
        <f>F16*Premissas!$E$16*Premissas!$E$17</f>
        <v/>
      </c>
      <c r="G17" s="8">
        <f>G16*Premissas!$E$16*Premissas!$E$17</f>
        <v/>
      </c>
      <c r="H17" s="8">
        <f>H16*Premissas!$E$16*Premissas!$E$17</f>
        <v/>
      </c>
      <c r="I17" s="8">
        <f>I16*Premissas!$E$16*Premissas!$E$17</f>
        <v/>
      </c>
      <c r="J17" s="8">
        <f>J16*Premissas!$E$16*Premissas!$E$17</f>
        <v/>
      </c>
      <c r="K17" s="8">
        <f>K16*Premissas!$E$16*Premissas!$E$17</f>
        <v/>
      </c>
      <c r="L17" s="23">
        <f>SUM(C17:K17)</f>
        <v/>
      </c>
    </row>
    <row r="18">
      <c r="A18" t="inlineStr">
        <is>
          <t>Horas de execução dos contratos</t>
        </is>
      </c>
      <c r="B18" t="inlineStr">
        <is>
          <t>h</t>
        </is>
      </c>
      <c r="C18" s="7">
        <f>Premissas!$E$22/4*0</f>
        <v/>
      </c>
      <c r="D18" s="7">
        <f>Premissas!$E$22/4*0</f>
        <v/>
      </c>
      <c r="E18" s="7">
        <f>Premissas!$E$22/4*0</f>
        <v/>
      </c>
      <c r="F18" s="7">
        <f>Premissas!$E$22/4*SUM(C14:C14)</f>
        <v/>
      </c>
      <c r="G18" s="7">
        <f>Premissas!$E$22/4*SUM(C14:D14)</f>
        <v/>
      </c>
      <c r="H18" s="7">
        <f>Premissas!$E$22/4*SUM(C14:E14)</f>
        <v/>
      </c>
      <c r="I18" s="7">
        <f>Premissas!$E$22/4*SUM(C14:F14)</f>
        <v/>
      </c>
      <c r="J18" s="7">
        <f>Premissas!$E$22/4*SUM(D14:G14)</f>
        <v/>
      </c>
      <c r="K18" s="7">
        <f>Premissas!$E$22/4*SUM(E14:H14)</f>
        <v/>
      </c>
      <c r="L18" s="22">
        <f>SUM(C18:K18)</f>
        <v/>
      </c>
    </row>
    <row r="19">
      <c r="A19" s="18" t="inlineStr">
        <is>
          <t>HORAS</t>
        </is>
      </c>
      <c r="B19" s="19" t="inlineStr"/>
      <c r="C19" s="20" t="n"/>
      <c r="D19" s="20" t="n"/>
      <c r="E19" s="20" t="n"/>
      <c r="F19" s="20" t="n"/>
      <c r="G19" s="20" t="n"/>
      <c r="H19" s="20" t="n"/>
      <c r="I19" s="20" t="n"/>
      <c r="J19" s="20" t="n"/>
      <c r="K19" s="20" t="n"/>
      <c r="L19" s="20" t="n"/>
    </row>
    <row r="20">
      <c r="A20" t="inlineStr">
        <is>
          <t>Horas de concurso</t>
        </is>
      </c>
      <c r="B20" t="inlineStr">
        <is>
          <t>h</t>
        </is>
      </c>
      <c r="C20" s="7">
        <f>C7*Premissas!$E$20+C8*Premissas!$E$21</f>
        <v/>
      </c>
      <c r="D20" s="7">
        <f>D7*Premissas!$E$20+D8*Premissas!$E$21</f>
        <v/>
      </c>
      <c r="E20" s="7">
        <f>E7*Premissas!$E$20+E8*Premissas!$E$21</f>
        <v/>
      </c>
      <c r="F20" s="7">
        <f>F7*Premissas!$E$20+F8*Premissas!$E$21</f>
        <v/>
      </c>
      <c r="G20" s="7">
        <f>G7*Premissas!$E$20+G8*Premissas!$E$21</f>
        <v/>
      </c>
      <c r="H20" s="7">
        <f>H7*Premissas!$E$20+H8*Premissas!$E$21</f>
        <v/>
      </c>
      <c r="I20" s="7">
        <f>I7*Premissas!$E$20+I8*Premissas!$E$21</f>
        <v/>
      </c>
      <c r="J20" s="7">
        <f>J7*Premissas!$E$20+J8*Premissas!$E$21</f>
        <v/>
      </c>
      <c r="K20" s="7">
        <f>K7*Premissas!$E$20+K8*Premissas!$E$21</f>
        <v/>
      </c>
      <c r="L20" s="22">
        <f>SUM(C20:K20)</f>
        <v/>
      </c>
    </row>
    <row r="21">
      <c r="A21" t="inlineStr">
        <is>
          <t>Horas totais (concurso + contratos)</t>
        </is>
      </c>
      <c r="B21" t="inlineStr">
        <is>
          <t>h</t>
        </is>
      </c>
      <c r="C21" s="7">
        <f>C20+C18</f>
        <v/>
      </c>
      <c r="D21" s="7">
        <f>D20+D18</f>
        <v/>
      </c>
      <c r="E21" s="7">
        <f>E20+E18</f>
        <v/>
      </c>
      <c r="F21" s="7">
        <f>F20+F18</f>
        <v/>
      </c>
      <c r="G21" s="7">
        <f>G20+G18</f>
        <v/>
      </c>
      <c r="H21" s="7">
        <f>H20+H18</f>
        <v/>
      </c>
      <c r="I21" s="7">
        <f>I20+I18</f>
        <v/>
      </c>
      <c r="J21" s="7">
        <f>J20+J18</f>
        <v/>
      </c>
      <c r="K21" s="7">
        <f>K20+K18</f>
        <v/>
      </c>
      <c r="L21" s="7" t="n"/>
    </row>
    <row r="22">
      <c r="A22" t="inlineStr">
        <is>
          <t>Teto de horas</t>
        </is>
      </c>
      <c r="B22" t="inlineStr">
        <is>
          <t>h</t>
        </is>
      </c>
      <c r="C22" s="7">
        <f>Premissas!$E$23</f>
        <v/>
      </c>
      <c r="D22" s="7">
        <f>Premissas!$E$23</f>
        <v/>
      </c>
      <c r="E22" s="7">
        <f>Premissas!$E$23</f>
        <v/>
      </c>
      <c r="F22" s="7">
        <f>Premissas!$E$23</f>
        <v/>
      </c>
      <c r="G22" s="7">
        <f>Premissas!$E$23</f>
        <v/>
      </c>
      <c r="H22" s="7">
        <f>Premissas!$E$23</f>
        <v/>
      </c>
      <c r="I22" s="7">
        <f>Premissas!$E$23</f>
        <v/>
      </c>
      <c r="J22" s="7">
        <f>Premissas!$E$23</f>
        <v/>
      </c>
      <c r="K22" s="7">
        <f>Premissas!$E$23</f>
        <v/>
      </c>
      <c r="L22" s="7" t="n"/>
    </row>
    <row r="23">
      <c r="A23" t="inlineStr">
        <is>
          <t>Capacidade</t>
        </is>
      </c>
      <c r="B23" t="inlineStr"/>
      <c r="C23" s="25">
        <f>IF(C21&gt;C22,"ESTOURA","ok")</f>
        <v/>
      </c>
      <c r="D23" s="25">
        <f>IF(D21&gt;D22,"ESTOURA","ok")</f>
        <v/>
      </c>
      <c r="E23" s="25">
        <f>IF(E21&gt;E22,"ESTOURA","ok")</f>
        <v/>
      </c>
      <c r="F23" s="25">
        <f>IF(F21&gt;F22,"ESTOURA","ok")</f>
        <v/>
      </c>
      <c r="G23" s="25">
        <f>IF(G21&gt;G22,"ESTOURA","ok")</f>
        <v/>
      </c>
      <c r="H23" s="25">
        <f>IF(H21&gt;H22,"ESTOURA","ok")</f>
        <v/>
      </c>
      <c r="I23" s="25">
        <f>IF(I21&gt;I22,"ESTOURA","ok")</f>
        <v/>
      </c>
      <c r="J23" s="25">
        <f>IF(J21&gt;J22,"ESTOURA","ok")</f>
        <v/>
      </c>
      <c r="K23" s="25">
        <f>IF(K21&gt;K22,"ESTOURA","ok")</f>
        <v/>
      </c>
      <c r="L23" s="25" t="n"/>
    </row>
    <row r="24">
      <c r="A24" s="18" t="inlineStr">
        <is>
          <t>CAIXA DOS CONCURSOS</t>
        </is>
      </c>
      <c r="B24" s="19" t="inlineStr"/>
      <c r="C24" s="20" t="n"/>
      <c r="D24" s="20" t="n"/>
      <c r="E24" s="20" t="n"/>
      <c r="F24" s="20" t="n"/>
      <c r="G24" s="20" t="n"/>
      <c r="H24" s="20" t="n"/>
      <c r="I24" s="20" t="n"/>
      <c r="J24" s="20" t="n"/>
      <c r="K24" s="20" t="n"/>
      <c r="L24" s="20" t="n"/>
    </row>
    <row r="25">
      <c r="A25" t="inlineStr">
        <is>
          <t>+ Prêmios</t>
        </is>
      </c>
      <c r="B25" t="inlineStr">
        <is>
          <t>R$</t>
        </is>
      </c>
      <c r="C25" s="8">
        <f>C12+C13</f>
        <v/>
      </c>
      <c r="D25" s="8">
        <f>D12+D13</f>
        <v/>
      </c>
      <c r="E25" s="8">
        <f>E12+E13</f>
        <v/>
      </c>
      <c r="F25" s="8">
        <f>F12+F13</f>
        <v/>
      </c>
      <c r="G25" s="8">
        <f>G12+G13</f>
        <v/>
      </c>
      <c r="H25" s="8">
        <f>H12+H13</f>
        <v/>
      </c>
      <c r="I25" s="8">
        <f>I12+I13</f>
        <v/>
      </c>
      <c r="J25" s="8">
        <f>J12+J13</f>
        <v/>
      </c>
      <c r="K25" s="8">
        <f>K12+K13</f>
        <v/>
      </c>
      <c r="L25" s="23">
        <f>SUM(C25:K25)</f>
        <v/>
      </c>
    </row>
    <row r="26">
      <c r="A26" t="inlineStr">
        <is>
          <t>+ Contratos (sua parte)</t>
        </is>
      </c>
      <c r="B26" t="inlineStr">
        <is>
          <t>R$</t>
        </is>
      </c>
      <c r="C26" s="8">
        <f>C17</f>
        <v/>
      </c>
      <c r="D26" s="8">
        <f>D17</f>
        <v/>
      </c>
      <c r="E26" s="8">
        <f>E17</f>
        <v/>
      </c>
      <c r="F26" s="8">
        <f>F17</f>
        <v/>
      </c>
      <c r="G26" s="8">
        <f>G17</f>
        <v/>
      </c>
      <c r="H26" s="8">
        <f>H17</f>
        <v/>
      </c>
      <c r="I26" s="8">
        <f>I17</f>
        <v/>
      </c>
      <c r="J26" s="8">
        <f>J17</f>
        <v/>
      </c>
      <c r="K26" s="8">
        <f>K17</f>
        <v/>
      </c>
      <c r="L26" s="23">
        <f>SUM(C26:K26)</f>
        <v/>
      </c>
    </row>
    <row r="27">
      <c r="A27" t="inlineStr">
        <is>
          <t>− Impostos</t>
        </is>
      </c>
      <c r="B27" t="inlineStr">
        <is>
          <t>R$</t>
        </is>
      </c>
      <c r="C27" s="8">
        <f>-(C25*Premissas!$E$18+C26*Premissas!$E$19)</f>
        <v/>
      </c>
      <c r="D27" s="8">
        <f>-(D25*Premissas!$E$18+D26*Premissas!$E$19)</f>
        <v/>
      </c>
      <c r="E27" s="8">
        <f>-(E25*Premissas!$E$18+E26*Premissas!$E$19)</f>
        <v/>
      </c>
      <c r="F27" s="8">
        <f>-(F25*Premissas!$E$18+F26*Premissas!$E$19)</f>
        <v/>
      </c>
      <c r="G27" s="8">
        <f>-(G25*Premissas!$E$18+G26*Premissas!$E$19)</f>
        <v/>
      </c>
      <c r="H27" s="8">
        <f>-(H25*Premissas!$E$18+H26*Premissas!$E$19)</f>
        <v/>
      </c>
      <c r="I27" s="8">
        <f>-(I25*Premissas!$E$18+I26*Premissas!$E$19)</f>
        <v/>
      </c>
      <c r="J27" s="8">
        <f>-(J25*Premissas!$E$18+J26*Premissas!$E$19)</f>
        <v/>
      </c>
      <c r="K27" s="8">
        <f>-(K25*Premissas!$E$18+K26*Premissas!$E$19)</f>
        <v/>
      </c>
      <c r="L27" s="23">
        <f>SUM(C27:K27)</f>
        <v/>
      </c>
    </row>
    <row r="28">
      <c r="A28" t="inlineStr">
        <is>
          <t>− Ferramentas</t>
        </is>
      </c>
      <c r="B28" t="inlineStr">
        <is>
          <t>R$</t>
        </is>
      </c>
      <c r="C28" s="8">
        <f>-3*Premissas!$E$25*Premissas!$E$26</f>
        <v/>
      </c>
      <c r="D28" s="8">
        <f>-3*Premissas!$E$25*Premissas!$E$26</f>
        <v/>
      </c>
      <c r="E28" s="8">
        <f>-3*Premissas!$E$25*Premissas!$E$26</f>
        <v/>
      </c>
      <c r="F28" s="8">
        <f>-3*Premissas!$E$25*Premissas!$E$26</f>
        <v/>
      </c>
      <c r="G28" s="8">
        <f>-3*Premissas!$E$25*Premissas!$E$26</f>
        <v/>
      </c>
      <c r="H28" s="8">
        <f>-3*Premissas!$E$25*Premissas!$E$26</f>
        <v/>
      </c>
      <c r="I28" s="8">
        <f>-3*Premissas!$E$25*Premissas!$E$26</f>
        <v/>
      </c>
      <c r="J28" s="8">
        <f>-3*Premissas!$E$25*Premissas!$E$26</f>
        <v/>
      </c>
      <c r="K28" s="8">
        <f>-3*Premissas!$E$25*Premissas!$E$26</f>
        <v/>
      </c>
      <c r="L28" s="23">
        <f>SUM(C28:K28)</f>
        <v/>
      </c>
    </row>
    <row r="29">
      <c r="A29" t="inlineStr">
        <is>
          <t>− Inscrições internacionais</t>
        </is>
      </c>
      <c r="B29" t="inlineStr">
        <is>
          <t>R$</t>
        </is>
      </c>
      <c r="C29" s="8">
        <f>-C8*Premissas!$E$27</f>
        <v/>
      </c>
      <c r="D29" s="8">
        <f>-D8*Premissas!$E$27</f>
        <v/>
      </c>
      <c r="E29" s="8">
        <f>-E8*Premissas!$E$27</f>
        <v/>
      </c>
      <c r="F29" s="8">
        <f>-F8*Premissas!$E$27</f>
        <v/>
      </c>
      <c r="G29" s="8">
        <f>-G8*Premissas!$E$27</f>
        <v/>
      </c>
      <c r="H29" s="8">
        <f>-H8*Premissas!$E$27</f>
        <v/>
      </c>
      <c r="I29" s="8">
        <f>-I8*Premissas!$E$27</f>
        <v/>
      </c>
      <c r="J29" s="8">
        <f>-J8*Premissas!$E$27</f>
        <v/>
      </c>
      <c r="K29" s="8">
        <f>-K8*Premissas!$E$27</f>
        <v/>
      </c>
      <c r="L29" s="23">
        <f>SUM(C29:K29)</f>
        <v/>
      </c>
    </row>
    <row r="30">
      <c r="A30" t="inlineStr">
        <is>
          <t>− CNPJ e contabilidade</t>
        </is>
      </c>
      <c r="B30" t="inlineStr">
        <is>
          <t>R$</t>
        </is>
      </c>
      <c r="C30" s="8" t="n">
        <v>0</v>
      </c>
      <c r="D30" s="8">
        <f>-3*Premissas!$E$28</f>
        <v/>
      </c>
      <c r="E30" s="8">
        <f>-3*Premissas!$E$28</f>
        <v/>
      </c>
      <c r="F30" s="8">
        <f>-3*Premissas!$E$28</f>
        <v/>
      </c>
      <c r="G30" s="8">
        <f>-3*Premissas!$E$28</f>
        <v/>
      </c>
      <c r="H30" s="8">
        <f>-3*Premissas!$E$28</f>
        <v/>
      </c>
      <c r="I30" s="8">
        <f>-3*Premissas!$E$28</f>
        <v/>
      </c>
      <c r="J30" s="8">
        <f>-3*Premissas!$E$28</f>
        <v/>
      </c>
      <c r="K30" s="8">
        <f>-3*Premissas!$E$28</f>
        <v/>
      </c>
      <c r="L30" s="23">
        <f>SUM(C30:K30)</f>
        <v/>
      </c>
    </row>
    <row r="31">
      <c r="A31" s="10" t="inlineStr">
        <is>
          <t>Caixa líquido dos concursos (soma)</t>
        </is>
      </c>
      <c r="B31" s="10" t="inlineStr">
        <is>
          <t>R$</t>
        </is>
      </c>
      <c r="C31" s="11">
        <f>SUM(C25:C30)</f>
        <v/>
      </c>
      <c r="D31" s="11">
        <f>SUM(D25:D30)</f>
        <v/>
      </c>
      <c r="E31" s="11">
        <f>SUM(E25:E30)</f>
        <v/>
      </c>
      <c r="F31" s="11">
        <f>SUM(F25:F30)</f>
        <v/>
      </c>
      <c r="G31" s="11">
        <f>SUM(G25:G30)</f>
        <v/>
      </c>
      <c r="H31" s="11">
        <f>SUM(H25:H30)</f>
        <v/>
      </c>
      <c r="I31" s="11">
        <f>SUM(I25:I30)</f>
        <v/>
      </c>
      <c r="J31" s="11">
        <f>SUM(J25:J30)</f>
        <v/>
      </c>
      <c r="K31" s="11">
        <f>SUM(K25:K30)</f>
        <v/>
      </c>
      <c r="L31" s="23">
        <f>SUM(C31:K31)</f>
        <v/>
      </c>
    </row>
    <row r="32">
      <c r="A32" t="inlineStr">
        <is>
          <t>− Valor das horas de concurso (custo de oportunidade)</t>
        </is>
      </c>
      <c r="B32" t="inlineStr">
        <is>
          <t>R$</t>
        </is>
      </c>
      <c r="C32" s="8">
        <f>-C20*Premissas!$E$24</f>
        <v/>
      </c>
      <c r="D32" s="8">
        <f>-D20*Premissas!$E$24</f>
        <v/>
      </c>
      <c r="E32" s="8">
        <f>-E20*Premissas!$E$24</f>
        <v/>
      </c>
      <c r="F32" s="8">
        <f>-F20*Premissas!$E$24</f>
        <v/>
      </c>
      <c r="G32" s="8">
        <f>-G20*Premissas!$E$24</f>
        <v/>
      </c>
      <c r="H32" s="8">
        <f>-H20*Premissas!$E$24</f>
        <v/>
      </c>
      <c r="I32" s="8">
        <f>-I20*Premissas!$E$24</f>
        <v/>
      </c>
      <c r="J32" s="8">
        <f>-J20*Premissas!$E$24</f>
        <v/>
      </c>
      <c r="K32" s="8">
        <f>-K20*Premissas!$E$24</f>
        <v/>
      </c>
      <c r="L32" s="23">
        <f>SUM(C32:K32)</f>
        <v/>
      </c>
    </row>
    <row r="33">
      <c r="A33" s="10" t="inlineStr">
        <is>
          <t>Líquido depois das horas (soma)</t>
        </is>
      </c>
      <c r="B33" s="10" t="inlineStr">
        <is>
          <t>R$</t>
        </is>
      </c>
      <c r="C33" s="11">
        <f>C31+C32</f>
        <v/>
      </c>
      <c r="D33" s="11">
        <f>D31+D32</f>
        <v/>
      </c>
      <c r="E33" s="11">
        <f>E31+E32</f>
        <v/>
      </c>
      <c r="F33" s="11">
        <f>F31+F32</f>
        <v/>
      </c>
      <c r="G33" s="11">
        <f>G31+G32</f>
        <v/>
      </c>
      <c r="H33" s="11">
        <f>H31+H32</f>
        <v/>
      </c>
      <c r="I33" s="11">
        <f>I31+I32</f>
        <v/>
      </c>
      <c r="J33" s="11">
        <f>J31+J32</f>
        <v/>
      </c>
      <c r="K33" s="11">
        <f>K31+K32</f>
        <v/>
      </c>
      <c r="L33" s="23">
        <f>SUM(C33:K33)</f>
        <v/>
      </c>
    </row>
    <row r="34">
      <c r="A34" s="18" t="inlineStr">
        <is>
          <t>RENDA TOTAL</t>
        </is>
      </c>
      <c r="B34" s="19" t="inlineStr"/>
      <c r="C34" s="20" t="n"/>
      <c r="D34" s="20" t="n"/>
      <c r="E34" s="20" t="n"/>
      <c r="F34" s="20" t="n"/>
      <c r="G34" s="20" t="n"/>
      <c r="H34" s="20" t="n"/>
      <c r="I34" s="20" t="n"/>
      <c r="J34" s="20" t="n"/>
      <c r="K34" s="20" t="n"/>
      <c r="L34" s="20" t="n"/>
    </row>
    <row r="35">
      <c r="A35" t="inlineStr">
        <is>
          <t>Perna 2 (PSCIP/PICIP, Revit, casa)</t>
        </is>
      </c>
      <c r="B35" t="inlineStr">
        <is>
          <t>R$</t>
        </is>
      </c>
      <c r="C35" s="8">
        <f>3*Premissas!$E$29*(1+Premissas!$E$30)^((C5-1)/4)*(1+IF(C5&gt;=Premissas!$E$32,Premissas!$E$31,0))</f>
        <v/>
      </c>
      <c r="D35" s="8">
        <f>3*Premissas!$E$29*(1+Premissas!$E$30)^((D5-1)/4)*(1+IF(D5&gt;=Premissas!$E$32,Premissas!$E$31,0))</f>
        <v/>
      </c>
      <c r="E35" s="8">
        <f>3*Premissas!$E$29*(1+Premissas!$E$30)^((E5-1)/4)*(1+IF(E5&gt;=Premissas!$E$32,Premissas!$E$31,0))</f>
        <v/>
      </c>
      <c r="F35" s="8">
        <f>3*Premissas!$E$29*(1+Premissas!$E$30)^((F5-1)/4)*(1+IF(F5&gt;=Premissas!$E$32,Premissas!$E$31,0))</f>
        <v/>
      </c>
      <c r="G35" s="8">
        <f>3*Premissas!$E$29*(1+Premissas!$E$30)^((G5-1)/4)*(1+IF(G5&gt;=Premissas!$E$32,Premissas!$E$31,0))</f>
        <v/>
      </c>
      <c r="H35" s="8">
        <f>3*Premissas!$E$29*(1+Premissas!$E$30)^((H5-1)/4)*(1+IF(H5&gt;=Premissas!$E$32,Premissas!$E$31,0))</f>
        <v/>
      </c>
      <c r="I35" s="8">
        <f>3*Premissas!$E$29*(1+Premissas!$E$30)^((I5-1)/4)*(1+IF(I5&gt;=Premissas!$E$32,Premissas!$E$31,0))</f>
        <v/>
      </c>
      <c r="J35" s="8">
        <f>3*Premissas!$E$29*(1+Premissas!$E$30)^((J5-1)/4)*(1+IF(J5&gt;=Premissas!$E$32,Premissas!$E$31,0))</f>
        <v/>
      </c>
      <c r="K35" s="8">
        <f>3*Premissas!$E$29*(1+Premissas!$E$30)^((K5-1)/4)*(1+IF(K5&gt;=Premissas!$E$32,Premissas!$E$31,0))</f>
        <v/>
      </c>
      <c r="L35" s="23">
        <f>SUM(C35:K35)</f>
        <v/>
      </c>
    </row>
    <row r="36">
      <c r="A36" s="10" t="inlineStr">
        <is>
          <t>Renda total do trimestre (caixa concursos + perna 2)</t>
        </is>
      </c>
      <c r="B36" s="10" t="inlineStr">
        <is>
          <t>R$</t>
        </is>
      </c>
      <c r="C36" s="11">
        <f>C31+C35</f>
        <v/>
      </c>
      <c r="D36" s="11">
        <f>D31+D35</f>
        <v/>
      </c>
      <c r="E36" s="11">
        <f>E31+E35</f>
        <v/>
      </c>
      <c r="F36" s="11">
        <f>F31+F35</f>
        <v/>
      </c>
      <c r="G36" s="11">
        <f>G31+G35</f>
        <v/>
      </c>
      <c r="H36" s="11">
        <f>H31+H35</f>
        <v/>
      </c>
      <c r="I36" s="11">
        <f>I31+I35</f>
        <v/>
      </c>
      <c r="J36" s="11">
        <f>J31+J35</f>
        <v/>
      </c>
      <c r="K36" s="11">
        <f>K31+K35</f>
        <v/>
      </c>
      <c r="L36" s="23">
        <f>SUM(C36:K36)</f>
        <v/>
      </c>
    </row>
    <row r="37">
      <c r="A37" t="inlineStr">
        <is>
          <t>Renda mensal média no trimestre</t>
        </is>
      </c>
      <c r="B37" t="inlineStr">
        <is>
          <t>R$/mês</t>
        </is>
      </c>
      <c r="C37" s="8">
        <f>C36/3</f>
        <v/>
      </c>
      <c r="D37" s="8">
        <f>D36/3</f>
        <v/>
      </c>
      <c r="E37" s="8">
        <f>E36/3</f>
        <v/>
      </c>
      <c r="F37" s="8">
        <f>F36/3</f>
        <v/>
      </c>
      <c r="G37" s="8">
        <f>G36/3</f>
        <v/>
      </c>
      <c r="H37" s="8">
        <f>H36/3</f>
        <v/>
      </c>
      <c r="I37" s="8">
        <f>I36/3</f>
        <v/>
      </c>
      <c r="J37" s="8">
        <f>J36/3</f>
        <v/>
      </c>
      <c r="K37" s="8">
        <f>K36/3</f>
        <v/>
      </c>
      <c r="L37" s="23">
        <f>L36/27</f>
        <v/>
      </c>
    </row>
    <row r="38">
      <c r="A38" t="inlineStr">
        <is>
          <t>Renda total acumulada</t>
        </is>
      </c>
      <c r="B38" t="inlineStr">
        <is>
          <t>R$</t>
        </is>
      </c>
      <c r="C38" s="8">
        <f>C36</f>
        <v/>
      </c>
      <c r="D38" s="8">
        <f>C38+D36</f>
        <v/>
      </c>
      <c r="E38" s="8">
        <f>D38+E36</f>
        <v/>
      </c>
      <c r="F38" s="8">
        <f>E38+F36</f>
        <v/>
      </c>
      <c r="G38" s="8">
        <f>F38+G36</f>
        <v/>
      </c>
      <c r="H38" s="8">
        <f>G38+H36</f>
        <v/>
      </c>
      <c r="I38" s="8">
        <f>H38+I36</f>
        <v/>
      </c>
      <c r="J38" s="8">
        <f>I38+J36</f>
        <v/>
      </c>
      <c r="K38" s="8">
        <f>J38+K36</f>
        <v/>
      </c>
      <c r="L38" s="8" t="n"/>
    </row>
    <row r="39">
      <c r="A39" t="inlineStr">
        <is>
          <t>Caixa dos concursos acumulado</t>
        </is>
      </c>
      <c r="B39" t="inlineStr">
        <is>
          <t>R$</t>
        </is>
      </c>
      <c r="C39" s="8">
        <f>C31</f>
        <v/>
      </c>
      <c r="D39" s="8">
        <f>C39+D31</f>
        <v/>
      </c>
      <c r="E39" s="8">
        <f>D39+E31</f>
        <v/>
      </c>
      <c r="F39" s="8">
        <f>E39+F31</f>
        <v/>
      </c>
      <c r="G39" s="8">
        <f>F39+G31</f>
        <v/>
      </c>
      <c r="H39" s="8">
        <f>G39+H31</f>
        <v/>
      </c>
      <c r="I39" s="8">
        <f>H39+I31</f>
        <v/>
      </c>
      <c r="J39" s="8">
        <f>I39+J31</f>
        <v/>
      </c>
      <c r="K39" s="8">
        <f>J39+K31</f>
        <v/>
      </c>
      <c r="L39" s="8" t="n"/>
    </row>
    <row r="40">
      <c r="A40" s="18" t="inlineStr">
        <is>
          <t>CARTEIRA</t>
        </is>
      </c>
      <c r="B40" s="19" t="inlineStr"/>
      <c r="C40" s="20" t="n"/>
      <c r="D40" s="20" t="n"/>
      <c r="E40" s="20" t="n"/>
      <c r="F40" s="20" t="n"/>
      <c r="G40" s="20" t="n"/>
      <c r="H40" s="20" t="n"/>
      <c r="I40" s="20" t="n"/>
      <c r="J40" s="20" t="n"/>
      <c r="K40" s="20" t="n"/>
      <c r="L40" s="20" t="n"/>
    </row>
    <row r="41">
      <c r="A41" t="inlineStr">
        <is>
          <t>Contratos esperados ganhos no período (nº)</t>
        </is>
      </c>
      <c r="B41" t="inlineStr">
        <is>
          <t>nº</t>
        </is>
      </c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24">
        <f>L14</f>
        <v/>
      </c>
    </row>
    <row r="42">
      <c r="A42" t="inlineStr">
        <is>
          <t>Valor líquido dos contratos ganhos a receber após dez/2028</t>
        </is>
      </c>
      <c r="B42" t="inlineStr">
        <is>
          <t>R$</t>
        </is>
      </c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23">
        <f>L14*Premissas!$E$15*Premissas!$E$16*Premissas!$E$17*(1-Premissas!$E$19)-L26*(1-Premissas!$E$19)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62" customWidth="1" min="1" max="1"/>
    <col width="18" customWidth="1" min="2" max="2"/>
    <col width="18" customWidth="1" min="3" max="3"/>
    <col width="18" customWidth="1" min="4" max="4"/>
  </cols>
  <sheetData>
    <row r="1">
      <c r="A1" s="4" t="inlineStr">
        <is>
          <t>MONTE CARLO — 20 mil rodadas por cenário (FIXO, não recalcula)</t>
        </is>
      </c>
    </row>
    <row r="2" ht="45" customHeight="1">
      <c r="A2" s="26" t="inlineStr">
        <is>
          <t>Mesmas premissas da aba Premissas na data de geração. Mostra a dispersão, que o valor esperado esconde. 'Caixa' = caixa líquido dos concursos até dez/2028 (depois de imposto, ferramentas, inscrições e CNPJ), sem o valor das horas.</t>
        </is>
      </c>
    </row>
    <row r="4">
      <c r="A4" s="5" t="inlineStr">
        <is>
          <t>Métrica</t>
        </is>
      </c>
      <c r="B4" s="5" t="inlineStr">
        <is>
          <t>Conservador</t>
        </is>
      </c>
      <c r="C4" s="5" t="inlineStr">
        <is>
          <t>Realista</t>
        </is>
      </c>
      <c r="D4" s="5" t="inlineStr">
        <is>
          <t>Otimista</t>
        </is>
      </c>
    </row>
    <row r="5">
      <c r="A5" t="inlineStr">
        <is>
          <t>Chance de nenhum 1º lugar em todo o período</t>
        </is>
      </c>
      <c r="B5" s="27" t="n">
        <v>0.87515</v>
      </c>
      <c r="C5" s="27" t="n">
        <v>0.67305</v>
      </c>
      <c r="D5" s="27" t="n">
        <v>0.44495</v>
      </c>
    </row>
    <row r="6">
      <c r="A6" t="inlineStr">
        <is>
          <t>Chance de ganhar pelo menos 1 contrato</t>
        </is>
      </c>
      <c r="B6" s="27" t="n">
        <v>0.0402</v>
      </c>
      <c r="C6" s="27" t="n">
        <v>0.17445</v>
      </c>
      <c r="D6" s="27" t="n">
        <v>0.38915</v>
      </c>
    </row>
    <row r="7">
      <c r="A7" t="inlineStr">
        <is>
          <t>Contratos ganhos (média)</t>
        </is>
      </c>
      <c r="B7" s="9" t="n">
        <v>0.04095</v>
      </c>
      <c r="C7" s="9" t="n">
        <v>0.1902</v>
      </c>
      <c r="D7" s="9" t="n">
        <v>0.48255</v>
      </c>
    </row>
    <row r="8">
      <c r="A8" t="inlineStr">
        <is>
          <t>Caixa dos concursos até dez/2028 — média</t>
        </is>
      </c>
      <c r="B8" s="8" t="n">
        <v>-44674.789625</v>
      </c>
      <c r="C8" s="8" t="n">
        <v>-12007.114125</v>
      </c>
      <c r="D8" s="8" t="n">
        <v>65364.79125</v>
      </c>
    </row>
    <row r="9">
      <c r="A9" t="inlineStr">
        <is>
          <t>Caixa dos concursos até dez/2028 — P10 (pior 10%)</t>
        </is>
      </c>
      <c r="B9" s="8" t="n">
        <v>-58620</v>
      </c>
      <c r="C9" s="8" t="n">
        <v>-53680</v>
      </c>
      <c r="D9" s="8" t="n">
        <v>-40215</v>
      </c>
    </row>
    <row r="10">
      <c r="A10" t="inlineStr">
        <is>
          <t>Caixa dos concursos até dez/2028 — mediana</t>
        </is>
      </c>
      <c r="B10" s="8" t="n">
        <v>-51820</v>
      </c>
      <c r="C10" s="8" t="n">
        <v>-37870</v>
      </c>
      <c r="D10" s="8" t="n">
        <v>20985</v>
      </c>
    </row>
    <row r="11">
      <c r="A11" t="inlineStr">
        <is>
          <t>Caixa dos concursos até dez/2028 — P90 (melhor 10%)</t>
        </is>
      </c>
      <c r="B11" s="8" t="n">
        <v>-17820</v>
      </c>
      <c r="C11" s="8" t="n">
        <v>70420</v>
      </c>
      <c r="D11" s="8" t="n">
        <v>243330</v>
      </c>
    </row>
    <row r="12">
      <c r="A12" t="inlineStr">
        <is>
          <t>Carteira de contratos a receber após 2028 — média</t>
        </is>
      </c>
      <c r="B12" s="8" t="n">
        <v>1312.801875</v>
      </c>
      <c r="C12" s="8" t="n">
        <v>10655.423625</v>
      </c>
      <c r="D12" s="8" t="n">
        <v>50205.42449999999</v>
      </c>
    </row>
    <row r="13">
      <c r="A13" t="inlineStr">
        <is>
          <t>Carteira a receber após 2028 — P90</t>
        </is>
      </c>
      <c r="B13" s="8" t="n">
        <v>0</v>
      </c>
      <c r="C13" s="8" t="n">
        <v>56595</v>
      </c>
      <c r="D13" s="8" t="n">
        <v>194040</v>
      </c>
    </row>
    <row r="14">
      <c r="A14" t="inlineStr">
        <is>
          <t>Chance de caixa dos concursos ficar negativo até 2028</t>
        </is>
      </c>
      <c r="B14" s="27" t="n">
        <v>0.95025</v>
      </c>
      <c r="C14" s="27" t="n">
        <v>0.72295</v>
      </c>
      <c r="D14" s="27" t="n">
        <v>0.4342</v>
      </c>
    </row>
    <row r="17">
      <c r="A17" s="10" t="inlineStr">
        <is>
          <t>Conferência: média do Monte Carlo vs. valor esperado do modelo (devem bater, dentro do ruído).</t>
        </is>
      </c>
    </row>
    <row r="18">
      <c r="A18" t="inlineStr">
        <is>
          <t>Caixa dos concursos — média Monte Carlo</t>
        </is>
      </c>
      <c r="B18" s="8" t="n">
        <v>-44674.789625</v>
      </c>
      <c r="C18" s="8" t="n">
        <v>-12007.114125</v>
      </c>
      <c r="D18" s="8" t="n">
        <v>65364.79125</v>
      </c>
    </row>
    <row r="19">
      <c r="A19" t="inlineStr">
        <is>
          <t>Caixa dos concursos — modelo (aba do cenário)</t>
        </is>
      </c>
      <c r="B19" s="8">
        <f>'Conservador'!L31</f>
        <v/>
      </c>
      <c r="C19" s="8">
        <f>'Realista'!L31</f>
        <v/>
      </c>
      <c r="D19" s="8">
        <f>'Otimista'!L31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14" customWidth="1" min="1" max="1"/>
    <col width="52" customWidth="1" min="2" max="2"/>
    <col width="80" customWidth="1" min="3" max="3"/>
    <col width="12" customWidth="1" min="4" max="4"/>
  </cols>
  <sheetData>
    <row r="1">
      <c r="A1" s="4" t="inlineStr">
        <is>
          <t>MARCOS 2026–2028 — o que destrava o dinheiro</t>
        </is>
      </c>
    </row>
    <row r="2">
      <c r="A2" t="inlineStr">
        <is>
          <t>Datas dos concursos vêm do que li antes: confira nos editais. O resto é recomendação minha.</t>
        </is>
      </c>
    </row>
    <row r="4">
      <c r="A4" s="5" t="inlineStr">
        <is>
          <t>Quando</t>
        </is>
      </c>
      <c r="B4" s="5" t="inlineStr">
        <is>
          <t>Marco</t>
        </is>
      </c>
      <c r="C4" s="5" t="inlineStr">
        <is>
          <t>Por que importa</t>
        </is>
      </c>
      <c r="D4" s="5" t="inlineStr">
        <is>
          <t>Tipo</t>
        </is>
      </c>
    </row>
    <row r="5">
      <c r="A5" s="28" t="inlineStr">
        <is>
          <t>21/10/2026</t>
        </is>
      </c>
      <c r="B5" s="28" t="inlineStr">
        <is>
          <t>Entrega UFC CACE</t>
        </is>
      </c>
      <c r="C5" s="28" t="inlineStr">
        <is>
          <t>Maior valor esperado da carteira (contrato de R$ 7,24 mi de obra). Só aceita consórcio na inscrição.</t>
        </is>
      </c>
      <c r="D5" s="28" t="inlineStr">
        <is>
          <t>Edital</t>
        </is>
      </c>
    </row>
    <row r="6">
      <c r="A6" s="28" t="inlineStr">
        <is>
          <t>30/10/2026</t>
        </is>
      </c>
      <c r="B6" s="28" t="inlineStr">
        <is>
          <t>CAU do autor ativo (exigência do Sesc Carmo)</t>
        </is>
      </c>
      <c r="C6" s="28" t="inlineStr">
        <is>
          <t>Sem CAU ativo, o Sesc Carmo é desclassificado.</t>
        </is>
      </c>
      <c r="D6" s="28" t="inlineStr">
        <is>
          <t>Edital</t>
        </is>
      </c>
    </row>
    <row r="7">
      <c r="A7" s="28" t="inlineStr">
        <is>
          <t>11/11/2026</t>
        </is>
      </c>
      <c r="B7" s="28" t="inlineStr">
        <is>
          <t>Entrega Museu de Maringá</t>
        </is>
      </c>
      <c r="C7" s="28" t="inlineStr">
        <is>
          <t>Exige CNPJ e acervo CAT-A do vencedor.</t>
        </is>
      </c>
      <c r="D7" s="28" t="inlineStr">
        <is>
          <t>Edital</t>
        </is>
      </c>
    </row>
    <row r="8">
      <c r="A8" s="28" t="inlineStr">
        <is>
          <t>03/12/2026</t>
        </is>
      </c>
      <c r="B8" s="28" t="inlineStr">
        <is>
          <t>Sesc Carmo fase 1</t>
        </is>
      </c>
      <c r="C8" s="28" t="inlineStr">
        <is>
          <t>Líquido esperado levemente negativo; decisão é sua.</t>
        </is>
      </c>
      <c r="D8" s="28" t="inlineStr">
        <is>
          <t>Edital</t>
        </is>
      </c>
    </row>
    <row r="9">
      <c r="A9" s="28" t="inlineStr">
        <is>
          <t>16/12/2026</t>
        </is>
      </c>
      <c r="B9" s="28" t="inlineStr">
        <is>
          <t>House of Poetry</t>
        </is>
      </c>
      <c r="C9" s="28" t="inlineStr">
        <is>
          <t>Dezembro estoura o teto (200 h): tire um dos dois.</t>
        </is>
      </c>
      <c r="D9" s="28" t="inlineStr">
        <is>
          <t>Edital</t>
        </is>
      </c>
    </row>
    <row r="10">
      <c r="A10" s="28" t="inlineStr">
        <is>
          <t>até dez/2026</t>
        </is>
      </c>
      <c r="B10" s="28" t="inlineStr">
        <is>
          <t>Abrir o CNPJ da Djan Arquitetura</t>
        </is>
      </c>
      <c r="C10" s="28" t="inlineStr">
        <is>
          <t>Sem empresa, um 1º lugar pode virar só troféu. É o maior gargalo.</t>
        </is>
      </c>
      <c r="D10" s="28" t="inlineStr">
        <is>
          <t>Ação</t>
        </is>
      </c>
    </row>
    <row r="11">
      <c r="A11" s="28" t="inlineStr">
        <is>
          <t>até dez/2026</t>
        </is>
      </c>
      <c r="B11" s="28" t="inlineStr">
        <is>
          <t>Definir acervo CAT-A: seu, de sócio ou de consórcio</t>
        </is>
      </c>
      <c r="C11" s="28" t="inlineStr">
        <is>
          <t>Mesma razão: contrato público exige atestado de porte.</t>
        </is>
      </c>
      <c r="D11" s="28" t="inlineStr">
        <is>
          <t>Ação</t>
        </is>
      </c>
    </row>
    <row r="12">
      <c r="A12" s="28" t="inlineStr">
        <is>
          <t>T1/2027</t>
        </is>
      </c>
      <c r="B12" s="28" t="inlineStr">
        <is>
          <t>Resultados UFC e Maringá</t>
        </is>
      </c>
      <c r="C12" s="28" t="inlineStr">
        <is>
          <t>Primeiro teste real do método. Qualquer resultado entra no portfólio.</t>
        </is>
      </c>
      <c r="D12" s="28" t="inlineStr">
        <is>
          <t>Previsão</t>
        </is>
      </c>
    </row>
    <row r="13">
      <c r="A13" s="28" t="inlineStr">
        <is>
          <t>19/02/2027</t>
        </is>
      </c>
      <c r="B13" s="28" t="inlineStr">
        <is>
          <t>Sassari</t>
        </is>
      </c>
      <c r="C13" s="28" t="inlineStr">
        <is>
          <t>Só vale com parceiro italiano; com Unbuilt 2027 dá 315 h em fevereiro.</t>
        </is>
      </c>
      <c r="D13" s="28" t="inlineStr">
        <is>
          <t>Edital</t>
        </is>
      </c>
    </row>
    <row r="14">
      <c r="A14" s="28" t="inlineStr">
        <is>
          <t>2027</t>
        </is>
      </c>
      <c r="B14" s="28" t="inlineStr">
        <is>
          <t>4 a 6 nacionais com contrato, no máximo 1 grande por vez</t>
        </is>
      </c>
      <c r="C14" s="28" t="inlineStr">
        <is>
          <t>Escalona a carga e concentra horas onde há contrato.</t>
        </is>
      </c>
      <c r="D14" s="28" t="inlineStr">
        <is>
          <t>Estratégia</t>
        </is>
      </c>
    </row>
    <row r="15">
      <c r="A15" s="28" t="inlineStr">
        <is>
          <t>2027</t>
        </is>
      </c>
      <c r="B15" s="28" t="inlineStr">
        <is>
          <t>Cada concurso perdido vira peça de portfólio</t>
        </is>
      </c>
      <c r="C15" s="28" t="inlineStr">
        <is>
          <t>Vitrine para cliente privado e para convites.</t>
        </is>
      </c>
      <c r="D15" s="28" t="inlineStr">
        <is>
          <t>Estratégia</t>
        </is>
      </c>
    </row>
    <row r="16">
      <c r="A16" s="28" t="inlineStr">
        <is>
          <t>T3/2027</t>
        </is>
      </c>
      <c r="B16" s="28" t="inlineStr">
        <is>
          <t>Primeiro contrato assinado (cenário realista)</t>
        </is>
      </c>
      <c r="C16" s="28" t="inlineStr">
        <is>
          <t>Dinheiro de contrato só chega ~3 trimestres após o resultado.</t>
        </is>
      </c>
      <c r="D16" s="28" t="inlineStr">
        <is>
          <t>Previsão</t>
        </is>
      </c>
    </row>
    <row r="17">
      <c r="A17" s="28" t="inlineStr">
        <is>
          <t>2028</t>
        </is>
      </c>
      <c r="B17" s="28" t="inlineStr">
        <is>
          <t>Execução de contrato disputa horas com concursos novos</t>
        </is>
      </c>
      <c r="C17" s="28" t="inlineStr">
        <is>
          <t>Contrato come ~300 h/trimestre; reduzir inscrições ou contratar apoio.</t>
        </is>
      </c>
      <c r="D17" s="28" t="inlineStr">
        <is>
          <t>Estratégia</t>
        </is>
      </c>
    </row>
    <row r="18">
      <c r="A18" s="28" t="inlineStr">
        <is>
          <t>2028</t>
        </is>
      </c>
      <c r="B18" s="28" t="inlineStr">
        <is>
          <t>Convites para concursos fechados, júris e palestras</t>
        </is>
      </c>
      <c r="C18" s="28" t="inlineStr">
        <is>
          <t>Efeito de reputação, difícil de modelar; não entra na planilha.</t>
        </is>
      </c>
      <c r="D18" s="28" t="inlineStr">
        <is>
          <t>Upside</t>
        </is>
      </c>
    </row>
    <row r="19">
      <c r="A19" s="28" t="inlineStr">
        <is>
          <t>dez/2028</t>
        </is>
      </c>
      <c r="B19" s="28" t="inlineStr">
        <is>
          <t>Balanço: carteira a receber, CNPJ, portfólio premiado</t>
        </is>
      </c>
      <c r="C19" s="28" t="inlineStr">
        <is>
          <t>A linha 'carteira a receber após 2028' mostra o que já está ganho e ainda não pago.</t>
        </is>
      </c>
      <c r="D19" s="28" t="inlineStr">
        <is>
          <t>Revisão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2026-10-09T21:45:38Z</dcterms:created>
  <dcterms:modified xmlns:dcterms="http://purl.org/dc/terms/" xmlns:xsi="http://www.w3.org/2001/XMLSchema-instance" xsi:type="dcterms:W3CDTF">2026-10-09T21:45:38Z</dcterms:modified>
</cp:coreProperties>
</file>